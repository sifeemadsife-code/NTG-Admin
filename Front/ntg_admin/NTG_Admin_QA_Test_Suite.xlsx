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tables/table29.xml" ContentType="application/vnd.openxmlformats-officedocument.spreadsheetml.table+xml"/>
  <Override PartName="/xl/worksheets/sheet31.xml" ContentType="application/vnd.openxmlformats-officedocument.spreadsheetml.worksheet+xml"/>
  <Override PartName="/xl/tables/table30.xml" ContentType="application/vnd.openxmlformats-officedocument.spreadsheetml.table+xml"/>
  <Override PartName="/xl/worksheets/sheet32.xml" ContentType="application/vnd.openxmlformats-officedocument.spreadsheetml.worksheet+xml"/>
  <Override PartName="/xl/tables/table31.xml" ContentType="application/vnd.openxmlformats-officedocument.spreadsheetml.table+xml"/>
  <Override PartName="/xl/worksheets/sheet33.xml" ContentType="application/vnd.openxmlformats-officedocument.spreadsheetml.worksheet+xml"/>
  <Override PartName="/xl/tables/table3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Dashboard" sheetId="1" state="visible" r:id="rId1"/>
    <sheet name="Test Register" sheetId="2" state="visible" r:id="rId2"/>
    <sheet name="Bug Tracker" sheetId="3" state="visible" r:id="rId3"/>
    <sheet name="Dashboard" sheetId="4" state="visible" r:id="rId4"/>
    <sheet name="Engineers" sheetId="5" state="visible" r:id="rId5"/>
    <sheet name="Add Engineer" sheetId="6" state="visible" r:id="rId6"/>
    <sheet name="Create Engineer Report" sheetId="7" state="visible" r:id="rId7"/>
    <sheet name="Edit Engineer" sheetId="8" state="visible" r:id="rId8"/>
    <sheet name="Engineer All Details" sheetId="9" state="visible" r:id="rId9"/>
    <sheet name="Students List" sheetId="10" state="visible" r:id="rId10"/>
    <sheet name="Student Details" sheetId="11" state="visible" r:id="rId11"/>
    <sheet name="Reports" sheetId="12" state="visible" r:id="rId12"/>
    <sheet name="Compose Report" sheetId="13" state="visible" r:id="rId13"/>
    <sheet name="Send Email" sheetId="14" state="visible" r:id="rId14"/>
    <sheet name="Training Programs" sheetId="15" state="visible" r:id="rId15"/>
    <sheet name="Edit Training Program" sheetId="16" state="visible" r:id="rId16"/>
    <sheet name="Training Program Details" sheetId="17" state="visible" r:id="rId17"/>
    <sheet name="Create Training Program" sheetId="18" state="visible" r:id="rId18"/>
    <sheet name="Subjects" sheetId="19" state="visible" r:id="rId19"/>
    <sheet name="Edit Subject" sheetId="20" state="visible" r:id="rId20"/>
    <sheet name="Add Subject" sheetId="21" state="visible" r:id="rId21"/>
    <sheet name="Notifications" sheetId="22" state="visible" r:id="rId22"/>
    <sheet name="Send Notification" sheetId="23" state="visible" r:id="rId23"/>
    <sheet name="Settings" sheetId="24" state="visible" r:id="rId24"/>
    <sheet name="Profile" sheetId="25" state="visible" r:id="rId25"/>
    <sheet name="Login" sheetId="26" state="visible" r:id="rId26"/>
    <sheet name="Evaluate Student" sheetId="27" state="visible" r:id="rId27"/>
    <sheet name="Student Evaluations" sheetId="28" state="visible" r:id="rId28"/>
    <sheet name="Reset Password" sheetId="29" state="visible" r:id="rId29"/>
    <sheet name="Not Found" sheetId="30" state="visible" r:id="rId30"/>
    <sheet name="Engineer Personal Info" sheetId="31" state="visible" r:id="rId31"/>
    <sheet name="Training Program Students" sheetId="32" state="visible" r:id="rId32"/>
    <sheet name="Training Program Engineers" sheetId="33" state="visible" r:id="rId33"/>
  </sheets>
  <definedNames>
    <definedName name="_xlnm._FilterDatabase" localSheetId="1" hidden="1">'Test Register'!$A$4:$N$354</definedName>
    <definedName name="_xlnm._FilterDatabase" localSheetId="2" hidden="1">'Bug Tracker'!$A$4:$N$14</definedName>
    <definedName name="_xlnm._FilterDatabase" localSheetId="3" hidden="1">'Dashboard'!$A$4:$N$21</definedName>
    <definedName name="_xlnm._FilterDatabase" localSheetId="4" hidden="1">'Engineers'!$A$4:$N$19</definedName>
    <definedName name="_xlnm._FilterDatabase" localSheetId="5" hidden="1">'Add Engineer'!$A$4:$N$24</definedName>
    <definedName name="_xlnm._FilterDatabase" localSheetId="6" hidden="1">'Create Engineer Report'!$A$4:$N$20</definedName>
    <definedName name="_xlnm._FilterDatabase" localSheetId="7" hidden="1">'Edit Engineer'!$A$4:$N$22</definedName>
    <definedName name="_xlnm._FilterDatabase" localSheetId="8" hidden="1">'Engineer All Details'!$A$4:$N$22</definedName>
    <definedName name="_xlnm._FilterDatabase" localSheetId="9" hidden="1">'Students List'!$A$4:$N$21</definedName>
    <definedName name="_xlnm._FilterDatabase" localSheetId="10" hidden="1">'Student Details'!$A$4:$N$18</definedName>
    <definedName name="_xlnm._FilterDatabase" localSheetId="11" hidden="1">'Reports'!$A$4:$N$22</definedName>
    <definedName name="_xlnm._FilterDatabase" localSheetId="12" hidden="1">'Compose Report'!$A$4:$N$7</definedName>
    <definedName name="_xlnm._FilterDatabase" localSheetId="13" hidden="1">'Send Email'!$A$4:$N$22</definedName>
    <definedName name="_xlnm._FilterDatabase" localSheetId="14" hidden="1">'Training Programs'!$A$4:$N$26</definedName>
    <definedName name="_xlnm._FilterDatabase" localSheetId="15" hidden="1">'Edit Training Program'!$A$4:$N$22</definedName>
    <definedName name="_xlnm._FilterDatabase" localSheetId="16" hidden="1">'Training Program Details'!$A$4:$N$12</definedName>
    <definedName name="_xlnm._FilterDatabase" localSheetId="17" hidden="1">'Create Training Program'!$A$4:$N$12</definedName>
    <definedName name="_xlnm._FilterDatabase" localSheetId="18" hidden="1">'Subjects'!$A$4:$N$12</definedName>
    <definedName name="_xlnm._FilterDatabase" localSheetId="19" hidden="1">'Edit Subject'!$A$4:$N$12</definedName>
    <definedName name="_xlnm._FilterDatabase" localSheetId="20" hidden="1">'Add Subject'!$A$4:$N$12</definedName>
    <definedName name="_xlnm._FilterDatabase" localSheetId="21" hidden="1">'Notifications'!$A$4:$N$12</definedName>
    <definedName name="_xlnm._FilterDatabase" localSheetId="22" hidden="1">'Send Notification'!$A$4:$N$12</definedName>
    <definedName name="_xlnm._FilterDatabase" localSheetId="23" hidden="1">'Settings'!$A$4:$N$12</definedName>
    <definedName name="_xlnm._FilterDatabase" localSheetId="24" hidden="1">'Profile'!$A$4:$N$12</definedName>
    <definedName name="_xlnm._FilterDatabase" localSheetId="25" hidden="1">'Login'!$A$4:$N$12</definedName>
    <definedName name="_xlnm._FilterDatabase" localSheetId="26" hidden="1">'Evaluate Student'!$A$4:$N$12</definedName>
    <definedName name="_xlnm._FilterDatabase" localSheetId="27" hidden="1">'Student Evaluations'!$A$4:$N$12</definedName>
    <definedName name="_xlnm._FilterDatabase" localSheetId="28" hidden="1">'Reset Password'!$A$4:$N$12</definedName>
    <definedName name="_xlnm._FilterDatabase" localSheetId="29" hidden="1">'Not Found'!$A$4:$N$12</definedName>
    <definedName name="_xlnm._FilterDatabase" localSheetId="30" hidden="1">'Engineer Personal Info'!$A$4:$N$12</definedName>
    <definedName name="_xlnm._FilterDatabase" localSheetId="31" hidden="1">'Training Program Students'!$A$4:$N$12</definedName>
    <definedName name="_xlnm._FilterDatabase" localSheetId="32" hidden="1">'Training Program Engineers'!$A$4:$N$12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ptos Display"/>
      <b val="1"/>
      <color rgb="00FFFFFF"/>
      <sz val="22"/>
    </font>
    <font>
      <name val="Aptos"/>
      <i val="1"/>
      <color rgb="00CBD5E1"/>
      <sz val="10"/>
    </font>
    <font>
      <name val="Aptos"/>
      <b val="1"/>
      <color rgb="00FFFFFF"/>
    </font>
    <font>
      <name val="Aptos"/>
      <b val="1"/>
      <color rgb="00FFFFFF"/>
      <sz val="11"/>
    </font>
    <font>
      <name val="Aptos"/>
      <b val="1"/>
      <color rgb="00E2E8F0"/>
      <sz val="10"/>
    </font>
    <font>
      <name val="Aptos Display"/>
      <b val="1"/>
      <color rgb="00FFFFFF"/>
      <sz val="28"/>
    </font>
    <font>
      <b val="1"/>
      <color rgb="00FFFFFF"/>
    </font>
    <font>
      <name val="Calibri"/>
      <family val="2"/>
      <color theme="10"/>
      <sz val="12"/>
      <scheme val="minor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D4ED8"/>
      </patternFill>
    </fill>
    <fill>
      <patternFill patternType="solid">
        <fgColor rgb="00F8FAFC"/>
      </patternFill>
    </fill>
    <fill>
      <patternFill patternType="solid">
        <fgColor rgb="000F766E"/>
      </patternFill>
    </fill>
    <fill>
      <patternFill patternType="solid">
        <fgColor rgb="0016A34A"/>
      </patternFill>
    </fill>
    <fill>
      <patternFill patternType="solid">
        <fgColor rgb="00DC2626"/>
      </patternFill>
    </fill>
    <fill>
      <patternFill patternType="solid">
        <fgColor rgb="00F59E0B"/>
      </patternFill>
    </fill>
    <fill>
      <patternFill patternType="solid">
        <fgColor rgb="00475569"/>
      </patternFill>
    </fill>
    <fill>
      <patternFill patternType="solid">
        <fgColor rgb="00ECFEFF"/>
      </patternFill>
    </fill>
  </fills>
  <borders count="3">
    <border>
      <left/>
      <right/>
      <top/>
      <bottom/>
      <diagonal/>
    </border>
    <border>
      <bottom style="medium">
        <color rgb="001E40AF"/>
      </bottom>
    </border>
    <border>
      <bottom style="thin">
        <color rgb="00CBD5E1"/>
      </bottom>
    </border>
  </borders>
  <cellStyleXfs count="2">
    <xf numFmtId="0" fontId="0" fillId="0" borderId="0"/>
    <xf numFmtId="0" fontId="8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5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5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6" fillId="3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0" fillId="10" borderId="0" applyAlignment="1" pivotButton="0" quotePrefix="0" xfId="0">
      <alignment vertical="top" wrapText="1"/>
    </xf>
    <xf numFmtId="0" fontId="7" fillId="2" borderId="0" pivotButton="0" quotePrefix="0" xfId="0"/>
    <xf numFmtId="0" fontId="8" fillId="0" borderId="0" pivotButton="0" quotePrefix="0" xfId="1"/>
    <xf numFmtId="0" fontId="3" fillId="3" borderId="1" applyAlignment="1" pivotButton="0" quotePrefix="0" xfId="0">
      <alignment horizontal="center" vertical="center" wrapText="1"/>
    </xf>
    <xf numFmtId="0" fontId="0" fillId="4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4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center" vertical="top" wrapText="1"/>
    </xf>
  </cellXfs>
  <cellStyles count="2">
    <cellStyle name="Normal" xfId="0" builtinId="0" hidden="0"/>
    <cellStyle name="Hyperlink" xfId="1" builtinId="8" hidden="0"/>
  </cellStyles>
  <dxfs count="4">
    <dxf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E2E8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Execution Status</a:t>
            </a:r>
          </a:p>
        </rich>
      </tx>
    </title>
    <plotArea>
      <doughnutChart>
        <varyColors val="1"/>
        <ser>
          <idx val="0"/>
          <order val="0"/>
          <tx>
            <strRef>
              <f>'QA Dashboard'!B11</f>
            </strRef>
          </tx>
          <spPr>
            <a:ln>
              <a:prstDash val="solid"/>
            </a:ln>
          </spPr>
          <cat>
            <numRef>
              <f>'QA Dashboard'!$A$12:$A$15</f>
            </numRef>
          </cat>
          <val>
            <numRef>
              <f>'QA Dashboard'!$B$12:$B$15</f>
            </numRef>
          </val>
        </ser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Open Bugs by Severity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'QA Dashboard'!E11</f>
            </strRef>
          </tx>
          <spPr>
            <a:ln>
              <a:prstDash val="solid"/>
            </a:ln>
          </spPr>
          <cat>
            <numRef>
              <f>'QA Dashboard'!$D$12:$D$15</f>
            </numRef>
          </cat>
          <val>
            <numRef>
              <f>'QA Dashboard'!$E$12:$E$15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Severity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estRegister" displayName="TestRegister" ref="A4:N354" headerRowCount="1">
  <autoFilter ref="A4:N354"/>
  <tableColumns count="14">
    <tableColumn id="1" name="Test ID"/>
    <tableColumn id="2" name="Featur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Test Type"/>
    <tableColumn id="12" name="Tester"/>
    <tableColumn id="13" name="Execution Date"/>
    <tableColumn id="14" name="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BugTracker" displayName="BugTracker" ref="A4:N14" headerRowCount="1">
  <autoFilter ref="A4:N14"/>
  <tableColumns count="14">
    <tableColumn id="1" name="Bug ID"/>
    <tableColumn id="2" name="Title"/>
    <tableColumn id="3" name="Module"/>
    <tableColumn id="4" name="Description"/>
    <tableColumn id="5" name="Steps to Reproduce"/>
    <tableColumn id="6" name="Expected Result"/>
    <tableColumn id="7" name="Actual Result"/>
    <tableColumn id="8" name="Severity"/>
    <tableColumn id="9" name="Priority"/>
    <tableColumn id="10" name="Status"/>
    <tableColumn id="11" name="Assigned To"/>
    <tableColumn id="12" name="Reporter"/>
    <tableColumn id="13" name="Date Reported"/>
    <tableColumn id="14" name="Evidence / Not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4Cases" displayName="T4Cases" ref="A4:N21" headerRowCount="1">
  <autoFilter ref="A4:N21"/>
  <tableColumns count="14">
    <tableColumn id="1" name="Test ID"/>
    <tableColumn id="2" name="Featur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Test Type"/>
    <tableColumn id="12" name="Tester"/>
    <tableColumn id="13" name="Execution Date"/>
    <tableColumn id="14" name="Note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5Cases" displayName="T5Cases" ref="A4:N19" headerRowCount="1">
  <autoFilter ref="A4:N19"/>
  <tableColumns count="14">
    <tableColumn id="1" name="Test ID"/>
    <tableColumn id="2" name="Featur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Test Type"/>
    <tableColumn id="12" name="Tester"/>
    <tableColumn id="13" name="Execution Date"/>
    <tableColumn id="14" name="Note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6Cases" displayName="T6Cases" ref="A4:N24" headerRowCount="1">
  <autoFilter ref="A4:N24"/>
  <tableColumns count="14">
    <tableColumn id="1" name="Test ID"/>
    <tableColumn id="2" name="Featur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Test Type"/>
    <tableColumn id="12" name="Tester"/>
    <tableColumn id="13" name="Execution Date"/>
    <tableColumn id="14" name="Notes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7Cases" displayName="T7Cases" ref="A4:N20" headerRowCount="1">
  <autoFilter ref="A4:N20"/>
  <tableColumns count="14">
    <tableColumn id="1" name="Test ID"/>
    <tableColumn id="2" name="Featur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Test Type"/>
    <tableColumn id="12" name="Tester"/>
    <tableColumn id="13" name="Execution Date"/>
    <tableColumn id="14" name="Notes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8Cases" displayName="T8Cases" ref="A4:N22" headerRowCount="1">
  <autoFilter ref="A4:N22"/>
  <tableColumns count="14">
    <tableColumn id="1" name="Test ID"/>
    <tableColumn id="2" name="Featur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Test Type"/>
    <tableColumn id="12" name="Tester"/>
    <tableColumn id="13" name="Execution Date"/>
    <tableColumn id="14" name="Notes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9Cases" displayName="T9Cases" ref="A4:N22" headerRowCount="1">
  <autoFilter ref="A4:N22"/>
  <tableColumns count="14">
    <tableColumn id="1" name="Test ID"/>
    <tableColumn id="2" name="Featur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Test Type"/>
    <tableColumn id="12" name="Tester"/>
    <tableColumn id="13" name="Execution Date"/>
    <tableColumn id="14" name="Notes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T10Cases" displayName="T10Cases" ref="A4:N21" headerRowCount="1">
  <autoFilter ref="A4:N21"/>
  <tableColumns count="14">
    <tableColumn id="1" name="Test ID"/>
    <tableColumn id="2" name="Featur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Test Type"/>
    <tableColumn id="12" name="Tester"/>
    <tableColumn id="13" name="Execution Date"/>
    <tableColumn id="14" name="Notes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T11Cases" displayName="T11Cases" ref="A4:N18" headerRowCount="1">
  <autoFilter ref="A4:N18"/>
  <tableColumns count="14">
    <tableColumn id="1" name="Test ID"/>
    <tableColumn id="2" name="Featur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Test Type"/>
    <tableColumn id="12" name="Tester"/>
    <tableColumn id="13" name="Execution Date"/>
    <tableColumn id="14" name="Notes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T12Cases" displayName="T12Cases" ref="A4:N22" headerRowCount="1">
  <autoFilter ref="A4:N22"/>
  <tableColumns count="14">
    <tableColumn id="1" name="Test ID"/>
    <tableColumn id="2" name="Featur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Test Type"/>
    <tableColumn id="12" name="Tester"/>
    <tableColumn id="13" name="Execution Date"/>
    <tableColumn id="14" name="Notes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T13Cases" displayName="T13Cases" ref="A4:N7" headerRowCount="1">
  <autoFilter ref="A4:N7"/>
  <tableColumns count="14">
    <tableColumn id="1" name="Test ID"/>
    <tableColumn id="2" name="Featur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Test Type"/>
    <tableColumn id="12" name="Tester"/>
    <tableColumn id="13" name="Execution Date"/>
    <tableColumn id="14" name="Notes"/>
  </tableColumns>
  <tableStyleInfo name="TableStyleMedium2" showRowStripes="1" showColumnStripes="0"/>
</table>
</file>

<file path=xl/tables/table13.xml><?xml version="1.0" encoding="utf-8"?>
<table xmlns="http://schemas.openxmlformats.org/spreadsheetml/2006/main" id="13" name="T14Cases" displayName="T14Cases" ref="A4:N22" headerRowCount="1">
  <autoFilter ref="A4:N22"/>
  <tableColumns count="14">
    <tableColumn id="1" name="Test ID"/>
    <tableColumn id="2" name="Featur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Test Type"/>
    <tableColumn id="12" name="Tester"/>
    <tableColumn id="13" name="Execution Date"/>
    <tableColumn id="14" name="Notes"/>
  </tableColumns>
  <tableStyleInfo name="TableStyleMedium2" showRowStripes="1" showColumnStripes="0"/>
</table>
</file>

<file path=xl/tables/table14.xml><?xml version="1.0" encoding="utf-8"?>
<table xmlns="http://schemas.openxmlformats.org/spreadsheetml/2006/main" id="14" name="T15Cases" displayName="T15Cases" ref="A4:N26" headerRowCount="1">
  <autoFilter ref="A4:N26"/>
  <tableColumns count="14">
    <tableColumn id="1" name="Test ID"/>
    <tableColumn id="2" name="Featur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Test Type"/>
    <tableColumn id="12" name="Tester"/>
    <tableColumn id="13" name="Execution Date"/>
    <tableColumn id="14" name="Notes"/>
  </tableColumns>
  <tableStyleInfo name="TableStyleMedium2" showRowStripes="1" showColumnStripes="0"/>
</table>
</file>

<file path=xl/tables/table15.xml><?xml version="1.0" encoding="utf-8"?>
<table xmlns="http://schemas.openxmlformats.org/spreadsheetml/2006/main" id="15" name="T16Cases" displayName="T16Cases" ref="A4:N22" headerRowCount="1">
  <autoFilter ref="A4:N22"/>
  <tableColumns count="14">
    <tableColumn id="1" name="Test ID"/>
    <tableColumn id="2" name="Featur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Test Type"/>
    <tableColumn id="12" name="Tester"/>
    <tableColumn id="13" name="Execution Date"/>
    <tableColumn id="14" name="Notes"/>
  </tableColumns>
  <tableStyleInfo name="TableStyleMedium2" showRowStripes="1" showColumnStripes="0"/>
</table>
</file>

<file path=xl/tables/table16.xml><?xml version="1.0" encoding="utf-8"?>
<table xmlns="http://schemas.openxmlformats.org/spreadsheetml/2006/main" id="16" name="T17Cases" displayName="T17Cases" ref="A4:N12" headerRowCount="1">
  <autoFilter ref="A4:N12"/>
  <tableColumns count="14">
    <tableColumn id="1" name="Test ID"/>
    <tableColumn id="2" name="Featur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Test Type"/>
    <tableColumn id="12" name="Tester"/>
    <tableColumn id="13" name="Execution Date"/>
    <tableColumn id="14" name="Notes"/>
  </tableColumns>
  <tableStyleInfo name="TableStyleMedium2" showRowStripes="1" showColumnStripes="0"/>
</table>
</file>

<file path=xl/tables/table17.xml><?xml version="1.0" encoding="utf-8"?>
<table xmlns="http://schemas.openxmlformats.org/spreadsheetml/2006/main" id="17" name="T18Cases" displayName="T18Cases" ref="A4:N12" headerRowCount="1">
  <autoFilter ref="A4:N12"/>
  <tableColumns count="14">
    <tableColumn id="1" name="Test ID"/>
    <tableColumn id="2" name="Featur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Test Type"/>
    <tableColumn id="12" name="Tester"/>
    <tableColumn id="13" name="Execution Date"/>
    <tableColumn id="14" name="Notes"/>
  </tableColumns>
  <tableStyleInfo name="TableStyleMedium2" showRowStripes="1" showColumnStripes="0"/>
</table>
</file>

<file path=xl/tables/table18.xml><?xml version="1.0" encoding="utf-8"?>
<table xmlns="http://schemas.openxmlformats.org/spreadsheetml/2006/main" id="18" name="T19Cases" displayName="T19Cases" ref="A4:N12" headerRowCount="1">
  <autoFilter ref="A4:N12"/>
  <tableColumns count="14">
    <tableColumn id="1" name="Test ID"/>
    <tableColumn id="2" name="Featur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Test Type"/>
    <tableColumn id="12" name="Tester"/>
    <tableColumn id="13" name="Execution Date"/>
    <tableColumn id="14" name="Notes"/>
  </tableColumns>
  <tableStyleInfo name="TableStyleMedium2" showRowStripes="1" showColumnStripes="0"/>
</table>
</file>

<file path=xl/tables/table19.xml><?xml version="1.0" encoding="utf-8"?>
<table xmlns="http://schemas.openxmlformats.org/spreadsheetml/2006/main" id="19" name="T20Cases" displayName="T20Cases" ref="A4:N12" headerRowCount="1">
  <autoFilter ref="A4:N12"/>
  <tableColumns count="14">
    <tableColumn id="1" name="Test ID"/>
    <tableColumn id="2" name="Featur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Test Type"/>
    <tableColumn id="12" name="Tester"/>
    <tableColumn id="13" name="Execution Date"/>
    <tableColumn id="14" name="Notes"/>
  </tableColumns>
  <tableStyleInfo name="TableStyleMedium2" showRowStripes="1" showColumnStripes="0"/>
</table>
</file>

<file path=xl/tables/table20.xml><?xml version="1.0" encoding="utf-8"?>
<table xmlns="http://schemas.openxmlformats.org/spreadsheetml/2006/main" id="20" name="T21Cases" displayName="T21Cases" ref="A4:N12" headerRowCount="1">
  <autoFilter ref="A4:N12"/>
  <tableColumns count="14">
    <tableColumn id="1" name="Test ID"/>
    <tableColumn id="2" name="Featur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Test Type"/>
    <tableColumn id="12" name="Tester"/>
    <tableColumn id="13" name="Execution Date"/>
    <tableColumn id="14" name="Notes"/>
  </tableColumns>
  <tableStyleInfo name="TableStyleMedium2" showRowStripes="1" showColumnStripes="0"/>
</table>
</file>

<file path=xl/tables/table21.xml><?xml version="1.0" encoding="utf-8"?>
<table xmlns="http://schemas.openxmlformats.org/spreadsheetml/2006/main" id="21" name="T22Cases" displayName="T22Cases" ref="A4:N12" headerRowCount="1">
  <autoFilter ref="A4:N12"/>
  <tableColumns count="14">
    <tableColumn id="1" name="Test ID"/>
    <tableColumn id="2" name="Featur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Test Type"/>
    <tableColumn id="12" name="Tester"/>
    <tableColumn id="13" name="Execution Date"/>
    <tableColumn id="14" name="Notes"/>
  </tableColumns>
  <tableStyleInfo name="TableStyleMedium2" showRowStripes="1" showColumnStripes="0"/>
</table>
</file>

<file path=xl/tables/table22.xml><?xml version="1.0" encoding="utf-8"?>
<table xmlns="http://schemas.openxmlformats.org/spreadsheetml/2006/main" id="22" name="T23Cases" displayName="T23Cases" ref="A4:N12" headerRowCount="1">
  <autoFilter ref="A4:N12"/>
  <tableColumns count="14">
    <tableColumn id="1" name="Test ID"/>
    <tableColumn id="2" name="Featur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Test Type"/>
    <tableColumn id="12" name="Tester"/>
    <tableColumn id="13" name="Execution Date"/>
    <tableColumn id="14" name="Notes"/>
  </tableColumns>
  <tableStyleInfo name="TableStyleMedium2" showRowStripes="1" showColumnStripes="0"/>
</table>
</file>

<file path=xl/tables/table23.xml><?xml version="1.0" encoding="utf-8"?>
<table xmlns="http://schemas.openxmlformats.org/spreadsheetml/2006/main" id="23" name="T24Cases" displayName="T24Cases" ref="A4:N12" headerRowCount="1">
  <autoFilter ref="A4:N12"/>
  <tableColumns count="14">
    <tableColumn id="1" name="Test ID"/>
    <tableColumn id="2" name="Featur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Test Type"/>
    <tableColumn id="12" name="Tester"/>
    <tableColumn id="13" name="Execution Date"/>
    <tableColumn id="14" name="Notes"/>
  </tableColumns>
  <tableStyleInfo name="TableStyleMedium2" showRowStripes="1" showColumnStripes="0"/>
</table>
</file>

<file path=xl/tables/table24.xml><?xml version="1.0" encoding="utf-8"?>
<table xmlns="http://schemas.openxmlformats.org/spreadsheetml/2006/main" id="24" name="T25Cases" displayName="T25Cases" ref="A4:N12" headerRowCount="1">
  <autoFilter ref="A4:N12"/>
  <tableColumns count="14">
    <tableColumn id="1" name="Test ID"/>
    <tableColumn id="2" name="Featur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Test Type"/>
    <tableColumn id="12" name="Tester"/>
    <tableColumn id="13" name="Execution Date"/>
    <tableColumn id="14" name="Notes"/>
  </tableColumns>
  <tableStyleInfo name="TableStyleMedium2" showRowStripes="1" showColumnStripes="0"/>
</table>
</file>

<file path=xl/tables/table25.xml><?xml version="1.0" encoding="utf-8"?>
<table xmlns="http://schemas.openxmlformats.org/spreadsheetml/2006/main" id="25" name="T26Cases" displayName="T26Cases" ref="A4:N12" headerRowCount="1">
  <autoFilter ref="A4:N12"/>
  <tableColumns count="14">
    <tableColumn id="1" name="Test ID"/>
    <tableColumn id="2" name="Featur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Test Type"/>
    <tableColumn id="12" name="Tester"/>
    <tableColumn id="13" name="Execution Date"/>
    <tableColumn id="14" name="Notes"/>
  </tableColumns>
  <tableStyleInfo name="TableStyleMedium2" showRowStripes="1" showColumnStripes="0"/>
</table>
</file>

<file path=xl/tables/table26.xml><?xml version="1.0" encoding="utf-8"?>
<table xmlns="http://schemas.openxmlformats.org/spreadsheetml/2006/main" id="26" name="T27Cases" displayName="T27Cases" ref="A4:N12" headerRowCount="1">
  <autoFilter ref="A4:N12"/>
  <tableColumns count="14">
    <tableColumn id="1" name="Test ID"/>
    <tableColumn id="2" name="Featur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Test Type"/>
    <tableColumn id="12" name="Tester"/>
    <tableColumn id="13" name="Execution Date"/>
    <tableColumn id="14" name="Notes"/>
  </tableColumns>
  <tableStyleInfo name="TableStyleMedium2" showRowStripes="1" showColumnStripes="0"/>
</table>
</file>

<file path=xl/tables/table27.xml><?xml version="1.0" encoding="utf-8"?>
<table xmlns="http://schemas.openxmlformats.org/spreadsheetml/2006/main" id="27" name="T28Cases" displayName="T28Cases" ref="A4:N12" headerRowCount="1">
  <autoFilter ref="A4:N12"/>
  <tableColumns count="14">
    <tableColumn id="1" name="Test ID"/>
    <tableColumn id="2" name="Featur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Test Type"/>
    <tableColumn id="12" name="Tester"/>
    <tableColumn id="13" name="Execution Date"/>
    <tableColumn id="14" name="Notes"/>
  </tableColumns>
  <tableStyleInfo name="TableStyleMedium2" showRowStripes="1" showColumnStripes="0"/>
</table>
</file>

<file path=xl/tables/table28.xml><?xml version="1.0" encoding="utf-8"?>
<table xmlns="http://schemas.openxmlformats.org/spreadsheetml/2006/main" id="28" name="T29Cases" displayName="T29Cases" ref="A4:N12" headerRowCount="1">
  <autoFilter ref="A4:N12"/>
  <tableColumns count="14">
    <tableColumn id="1" name="Test ID"/>
    <tableColumn id="2" name="Featur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Test Type"/>
    <tableColumn id="12" name="Tester"/>
    <tableColumn id="13" name="Execution Date"/>
    <tableColumn id="14" name="Notes"/>
  </tableColumns>
  <tableStyleInfo name="TableStyleMedium2" showRowStripes="1" showColumnStripes="0"/>
</table>
</file>

<file path=xl/tables/table29.xml><?xml version="1.0" encoding="utf-8"?>
<table xmlns="http://schemas.openxmlformats.org/spreadsheetml/2006/main" id="29" name="T30Cases" displayName="T30Cases" ref="A4:N12" headerRowCount="1">
  <autoFilter ref="A4:N12"/>
  <tableColumns count="14">
    <tableColumn id="1" name="Test ID"/>
    <tableColumn id="2" name="Featur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Test Type"/>
    <tableColumn id="12" name="Tester"/>
    <tableColumn id="13" name="Execution Date"/>
    <tableColumn id="14" name="Notes"/>
  </tableColumns>
  <tableStyleInfo name="TableStyleMedium2" showRowStripes="1" showColumnStripes="0"/>
</table>
</file>

<file path=xl/tables/table30.xml><?xml version="1.0" encoding="utf-8"?>
<table xmlns="http://schemas.openxmlformats.org/spreadsheetml/2006/main" id="30" name="T31Cases" displayName="T31Cases" ref="A4:N12" headerRowCount="1">
  <autoFilter ref="A4:N12"/>
  <tableColumns count="14">
    <tableColumn id="1" name="Test ID"/>
    <tableColumn id="2" name="Featur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Test Type"/>
    <tableColumn id="12" name="Tester"/>
    <tableColumn id="13" name="Execution Date"/>
    <tableColumn id="14" name="Notes"/>
  </tableColumns>
  <tableStyleInfo name="TableStyleMedium2" showRowStripes="1" showColumnStripes="0"/>
</table>
</file>

<file path=xl/tables/table31.xml><?xml version="1.0" encoding="utf-8"?>
<table xmlns="http://schemas.openxmlformats.org/spreadsheetml/2006/main" id="31" name="T32Cases" displayName="T32Cases" ref="A4:N12" headerRowCount="1">
  <autoFilter ref="A4:N12"/>
  <tableColumns count="14">
    <tableColumn id="1" name="Test ID"/>
    <tableColumn id="2" name="Featur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Test Type"/>
    <tableColumn id="12" name="Tester"/>
    <tableColumn id="13" name="Execution Date"/>
    <tableColumn id="14" name="Notes"/>
  </tableColumns>
  <tableStyleInfo name="TableStyleMedium2" showRowStripes="1" showColumnStripes="0"/>
</table>
</file>

<file path=xl/tables/table32.xml><?xml version="1.0" encoding="utf-8"?>
<table xmlns="http://schemas.openxmlformats.org/spreadsheetml/2006/main" id="32" name="T33Cases" displayName="T33Cases" ref="A4:N12" headerRowCount="1">
  <autoFilter ref="A4:N12"/>
  <tableColumns count="14">
    <tableColumn id="1" name="Test ID"/>
    <tableColumn id="2" name="Featur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Test Type"/>
    <tableColumn id="12" name="Tester"/>
    <tableColumn id="13" name="Execution Date"/>
    <tableColumn id="14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est Register'!A1" TargetMode="External" Id="rId1" /><Relationship Type="http://schemas.openxmlformats.org/officeDocument/2006/relationships/hyperlink" Target="#'Bug Tracker'!A1" TargetMode="External" Id="rId2" /><Relationship Type="http://schemas.openxmlformats.org/officeDocument/2006/relationships/hyperlink" Target="#'Dashboard'!A1" TargetMode="External" Id="rId3" /><Relationship Type="http://schemas.openxmlformats.org/officeDocument/2006/relationships/hyperlink" Target="#'Engineers'!A1" TargetMode="External" Id="rId4" /><Relationship Type="http://schemas.openxmlformats.org/officeDocument/2006/relationships/hyperlink" Target="#'Add Engineer'!A1" TargetMode="External" Id="rId5" /><Relationship Type="http://schemas.openxmlformats.org/officeDocument/2006/relationships/hyperlink" Target="#'Create Engineer Report'!A1" TargetMode="External" Id="rId6" /><Relationship Type="http://schemas.openxmlformats.org/officeDocument/2006/relationships/hyperlink" Target="#'Edit Engineer'!A1" TargetMode="External" Id="rId7" /><Relationship Type="http://schemas.openxmlformats.org/officeDocument/2006/relationships/hyperlink" Target="#'Engineer All Details'!A1" TargetMode="External" Id="rId8" /><Relationship Type="http://schemas.openxmlformats.org/officeDocument/2006/relationships/hyperlink" Target="#'Students List'!A1" TargetMode="External" Id="rId9" /><Relationship Type="http://schemas.openxmlformats.org/officeDocument/2006/relationships/hyperlink" Target="#'Student Details'!A1" TargetMode="External" Id="rId10" /><Relationship Type="http://schemas.openxmlformats.org/officeDocument/2006/relationships/hyperlink" Target="#'Reports'!A1" TargetMode="External" Id="rId11" /><Relationship Type="http://schemas.openxmlformats.org/officeDocument/2006/relationships/hyperlink" Target="#'Compose Report'!A1" TargetMode="External" Id="rId12" /><Relationship Type="http://schemas.openxmlformats.org/officeDocument/2006/relationships/hyperlink" Target="#'Send Email'!A1" TargetMode="External" Id="rId13" /><Relationship Type="http://schemas.openxmlformats.org/officeDocument/2006/relationships/hyperlink" Target="#'Training Programs'!A1" TargetMode="External" Id="rId14" /><Relationship Type="http://schemas.openxmlformats.org/officeDocument/2006/relationships/drawing" Target="/xl/drawings/drawing1.xml" Id="rId15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4.xml" Id="rId1" 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5.xml" Id="rId1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6.xml" Id="rId1" 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7.xml" Id="rId1" 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8.xml" Id="rId1" 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9.xml" Id="rId1" /></Relationships>
</file>

<file path=xl/worksheets/_rels/sheet31.xml.rels><Relationships xmlns="http://schemas.openxmlformats.org/package/2006/relationships"><Relationship Type="http://schemas.openxmlformats.org/officeDocument/2006/relationships/table" Target="/xl/tables/table30.xml" Id="rId1" /></Relationships>
</file>

<file path=xl/worksheets/_rels/sheet32.xml.rels><Relationships xmlns="http://schemas.openxmlformats.org/package/2006/relationships"><Relationship Type="http://schemas.openxmlformats.org/officeDocument/2006/relationships/table" Target="/xl/tables/table31.xml" Id="rId1" 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8" customHeight="1">
      <c r="A1" s="1" t="inlineStr">
        <is>
          <t>NTG ADMIN - QA COMMAND CENTER</t>
        </is>
      </c>
    </row>
    <row r="2" ht="24" customHeight="1">
      <c r="A2" s="2" t="inlineStr">
        <is>
          <t>A clean overview of test coverage, execution status and defect health</t>
        </is>
      </c>
    </row>
    <row r="4" ht="24" customHeight="1">
      <c r="A4" s="3" t="inlineStr">
        <is>
          <t>EXECUTIVE SNAPSHOT</t>
        </is>
      </c>
    </row>
    <row r="6" ht="26" customHeight="1">
      <c r="A6" s="4" t="inlineStr">
        <is>
          <t>TOTAL TEST CASES</t>
        </is>
      </c>
      <c r="B6" s="5" t="n"/>
      <c r="D6" s="6" t="inlineStr">
        <is>
          <t>PASSED</t>
        </is>
      </c>
      <c r="E6" s="7" t="n"/>
      <c r="G6" s="8" t="inlineStr">
        <is>
          <t>FAILED</t>
        </is>
      </c>
      <c r="H6" s="9" t="n"/>
      <c r="J6" s="10" t="inlineStr">
        <is>
          <t>OPEN BUGS</t>
        </is>
      </c>
      <c r="K6" s="11" t="n"/>
    </row>
    <row r="7" ht="26" customHeight="1">
      <c r="A7" s="12">
        <f>COUNTA('Test Register'!A5:A1048576)</f>
        <v/>
      </c>
      <c r="B7" s="5" t="n"/>
      <c r="D7" s="13">
        <f>COUNTIF('Test Register'!I5:I1048576,"Passed")</f>
        <v/>
      </c>
      <c r="E7" s="7" t="n"/>
      <c r="G7" s="14">
        <f>COUNTIF('Test Register'!I5:I1048576,"Failed")</f>
        <v/>
      </c>
      <c r="H7" s="9" t="n"/>
      <c r="J7" s="15">
        <f>COUNTIF('Bug Tracker'!J5:J1048576,"New")</f>
        <v/>
      </c>
      <c r="K7" s="11" t="n"/>
    </row>
    <row r="8" ht="26" customHeight="1">
      <c r="A8" s="5" t="n"/>
      <c r="B8" s="5" t="n"/>
      <c r="D8" s="7" t="n"/>
      <c r="E8" s="7" t="n"/>
      <c r="G8" s="9" t="n"/>
      <c r="H8" s="9" t="n"/>
      <c r="J8" s="11" t="n"/>
      <c r="K8" s="11" t="n"/>
    </row>
    <row r="11">
      <c r="A11" s="16" t="inlineStr">
        <is>
          <t>STATUS</t>
        </is>
      </c>
      <c r="B11" s="16" t="inlineStr">
        <is>
          <t>COUNT</t>
        </is>
      </c>
      <c r="D11" s="16" t="inlineStr">
        <is>
          <t>SEVERITY</t>
        </is>
      </c>
      <c r="E11" s="16" t="inlineStr">
        <is>
          <t>OPEN BUGS</t>
        </is>
      </c>
    </row>
    <row r="12">
      <c r="A12" s="17" t="inlineStr">
        <is>
          <t>Passed</t>
        </is>
      </c>
      <c r="B12" s="17">
        <f>COUNTIF('Test Register'!I5:I1048576,"Passed")</f>
        <v/>
      </c>
      <c r="D12" s="17" t="inlineStr">
        <is>
          <t>Critical</t>
        </is>
      </c>
      <c r="E12" s="17">
        <f>COUNTIFS('Bug Tracker'!H5:H1048576,"Critical",'Bug Tracker'!J5:J1048576,"New")</f>
        <v/>
      </c>
    </row>
    <row r="13">
      <c r="A13" s="17" t="inlineStr">
        <is>
          <t>Failed</t>
        </is>
      </c>
      <c r="B13" s="17">
        <f>COUNTIF('Test Register'!I5:I1048576,"Failed")</f>
        <v/>
      </c>
      <c r="D13" s="17" t="inlineStr">
        <is>
          <t>High</t>
        </is>
      </c>
      <c r="E13" s="17">
        <f>COUNTIFS('Bug Tracker'!H5:H1048576,"High",'Bug Tracker'!J5:J1048576,"New")</f>
        <v/>
      </c>
    </row>
    <row r="14">
      <c r="A14" s="17" t="inlineStr">
        <is>
          <t>Blocked</t>
        </is>
      </c>
      <c r="B14" s="17">
        <f>COUNTIF('Test Register'!I5:I1048576,"Blocked")</f>
        <v/>
      </c>
      <c r="D14" s="17" t="inlineStr">
        <is>
          <t>Medium</t>
        </is>
      </c>
      <c r="E14" s="17">
        <f>COUNTIFS('Bug Tracker'!H5:H1048576,"Medium",'Bug Tracker'!J5:J1048576,"New")</f>
        <v/>
      </c>
    </row>
    <row r="15">
      <c r="A15" s="17" t="inlineStr">
        <is>
          <t>Not Run</t>
        </is>
      </c>
      <c r="B15" s="17">
        <f>COUNTIF('Test Register'!I5:I1048576,"Not Run")</f>
        <v/>
      </c>
      <c r="D15" s="17" t="inlineStr">
        <is>
          <t>Low</t>
        </is>
      </c>
      <c r="E15" s="17">
        <f>COUNTIFS('Bug Tracker'!H5:H1048576,"Low",'Bug Tracker'!J5:J1048576,"New")</f>
        <v/>
      </c>
    </row>
    <row r="22">
      <c r="G22" s="18" t="inlineStr">
        <is>
          <t>WORKBOOK GUIDE</t>
        </is>
      </c>
    </row>
    <row r="23">
      <c r="G23" s="19" t="inlineStr">
        <is>
          <t>Use Test Register to filter every test case in one place. Individual page tabs provide focused coverage. Status cells use consistent colour coding and include a dropdown for controlled updates. Bug Tracker contains the actionable defects found during local QA execution.</t>
        </is>
      </c>
    </row>
    <row r="24"/>
    <row r="25"/>
    <row r="26"/>
    <row r="27"/>
    <row r="30">
      <c r="A30" s="20" t="inlineStr">
        <is>
          <t>Quick links</t>
        </is>
      </c>
    </row>
    <row r="31">
      <c r="A31" s="21" t="inlineStr">
        <is>
          <t>Test Register</t>
        </is>
      </c>
    </row>
    <row r="32">
      <c r="A32" s="21" t="inlineStr">
        <is>
          <t>Bug Tracker</t>
        </is>
      </c>
    </row>
    <row r="33">
      <c r="A33" s="21" t="inlineStr">
        <is>
          <t>Dashboard</t>
        </is>
      </c>
    </row>
    <row r="34">
      <c r="A34" s="21" t="inlineStr">
        <is>
          <t>Engineers</t>
        </is>
      </c>
    </row>
    <row r="35">
      <c r="A35" s="21" t="inlineStr">
        <is>
          <t>Add Engineer</t>
        </is>
      </c>
    </row>
    <row r="36">
      <c r="A36" s="21" t="inlineStr">
        <is>
          <t>Create Engineer Report</t>
        </is>
      </c>
    </row>
    <row r="37">
      <c r="A37" s="21" t="inlineStr">
        <is>
          <t>Edit Engineer</t>
        </is>
      </c>
    </row>
    <row r="38">
      <c r="A38" s="21" t="inlineStr">
        <is>
          <t>Engineer All Details</t>
        </is>
      </c>
    </row>
    <row r="39">
      <c r="A39" s="21" t="inlineStr">
        <is>
          <t>Students List</t>
        </is>
      </c>
    </row>
    <row r="40">
      <c r="A40" s="21" t="inlineStr">
        <is>
          <t>Student Details</t>
        </is>
      </c>
    </row>
    <row r="41">
      <c r="A41" s="21" t="inlineStr">
        <is>
          <t>Reports</t>
        </is>
      </c>
    </row>
    <row r="42">
      <c r="A42" s="21" t="inlineStr">
        <is>
          <t>Compose Report</t>
        </is>
      </c>
    </row>
    <row r="43">
      <c r="A43" s="21" t="inlineStr">
        <is>
          <t>Send Email</t>
        </is>
      </c>
    </row>
    <row r="44">
      <c r="A44" s="21" t="inlineStr">
        <is>
          <t>Training Programs</t>
        </is>
      </c>
    </row>
  </sheetData>
  <mergeCells count="13">
    <mergeCell ref="D6:E6"/>
    <mergeCell ref="A2:L2"/>
    <mergeCell ref="G7:H8"/>
    <mergeCell ref="D7:E8"/>
    <mergeCell ref="A7:B8"/>
    <mergeCell ref="J6:K6"/>
    <mergeCell ref="A1:L1"/>
    <mergeCell ref="G22:L22"/>
    <mergeCell ref="G23:L27"/>
    <mergeCell ref="J7:K8"/>
    <mergeCell ref="G6:H6"/>
    <mergeCell ref="A6:B6"/>
    <mergeCell ref="A4:L4"/>
  </mergeCells>
  <hyperlinks>
    <hyperlink xmlns:r="http://schemas.openxmlformats.org/officeDocument/2006/relationships" ref="A31" r:id="rId1"/>
    <hyperlink xmlns:r="http://schemas.openxmlformats.org/officeDocument/2006/relationships" ref="A32" r:id="rId2"/>
    <hyperlink xmlns:r="http://schemas.openxmlformats.org/officeDocument/2006/relationships" ref="A33" r:id="rId3"/>
    <hyperlink xmlns:r="http://schemas.openxmlformats.org/officeDocument/2006/relationships" ref="A34" r:id="rId4"/>
    <hyperlink xmlns:r="http://schemas.openxmlformats.org/officeDocument/2006/relationships" ref="A35" r:id="rId5"/>
    <hyperlink xmlns:r="http://schemas.openxmlformats.org/officeDocument/2006/relationships" ref="A36" r:id="rId6"/>
    <hyperlink xmlns:r="http://schemas.openxmlformats.org/officeDocument/2006/relationships" ref="A37" r:id="rId7"/>
    <hyperlink xmlns:r="http://schemas.openxmlformats.org/officeDocument/2006/relationships" ref="A38" r:id="rId8"/>
    <hyperlink xmlns:r="http://schemas.openxmlformats.org/officeDocument/2006/relationships" ref="A39" r:id="rId9"/>
    <hyperlink xmlns:r="http://schemas.openxmlformats.org/officeDocument/2006/relationships" ref="A40" r:id="rId10"/>
    <hyperlink xmlns:r="http://schemas.openxmlformats.org/officeDocument/2006/relationships" ref="A41" r:id="rId11"/>
    <hyperlink xmlns:r="http://schemas.openxmlformats.org/officeDocument/2006/relationships" ref="A42" r:id="rId12"/>
    <hyperlink xmlns:r="http://schemas.openxmlformats.org/officeDocument/2006/relationships" ref="A43" r:id="rId13"/>
    <hyperlink xmlns:r="http://schemas.openxmlformats.org/officeDocument/2006/relationships" ref="A44" r:id="rId14"/>
  </hyperlinks>
  <pageMargins left="0.75" right="0.75" top="1" bottom="1" header="0.5" footer="0.5"/>
  <drawing xmlns:r="http://schemas.openxmlformats.org/officeDocument/2006/relationships" r:id="rId1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28" customWidth="1" min="4" max="4"/>
    <col width="40" customWidth="1" min="5" max="5"/>
    <col width="22" customWidth="1" min="6" max="6"/>
    <col width="38" customWidth="1" min="7" max="7"/>
    <col width="38" customWidth="1" min="8" max="8"/>
    <col width="14" customWidth="1" min="9" max="9"/>
    <col width="12" customWidth="1" min="10" max="10"/>
    <col width="15" customWidth="1" min="11" max="11"/>
    <col width="16" customWidth="1" min="12" max="12"/>
    <col width="16" customWidth="1" min="13" max="13"/>
    <col width="30" customWidth="1" min="14" max="14"/>
  </cols>
  <sheetData>
    <row r="1" ht="38" customHeight="1">
      <c r="A1" s="1" t="inlineStr">
        <is>
          <t>Test Register</t>
        </is>
      </c>
    </row>
    <row r="2" ht="24" customHeight="1">
      <c r="A2" s="2" t="inlineStr">
        <is>
          <t>NTG Admin Module • QA test cases • Last updated: 2026-07-20</t>
        </is>
      </c>
    </row>
    <row r="4" ht="30" customHeight="1">
      <c r="A4" s="22" t="inlineStr">
        <is>
          <t>Test ID</t>
        </is>
      </c>
      <c r="B4" s="22" t="inlineStr">
        <is>
          <t>Feature</t>
        </is>
      </c>
      <c r="C4" s="22" t="inlineStr">
        <is>
          <t>Test Scenario</t>
        </is>
      </c>
      <c r="D4" s="22" t="inlineStr">
        <is>
          <t>Preconditions</t>
        </is>
      </c>
      <c r="E4" s="22" t="inlineStr">
        <is>
          <t>Test Steps</t>
        </is>
      </c>
      <c r="F4" s="22" t="inlineStr">
        <is>
          <t>Test Data</t>
        </is>
      </c>
      <c r="G4" s="22" t="inlineStr">
        <is>
          <t>Expected Result</t>
        </is>
      </c>
      <c r="H4" s="22" t="inlineStr">
        <is>
          <t>Actual Result</t>
        </is>
      </c>
      <c r="I4" s="22" t="inlineStr">
        <is>
          <t>Status</t>
        </is>
      </c>
      <c r="J4" s="22" t="inlineStr">
        <is>
          <t>Priority</t>
        </is>
      </c>
      <c r="K4" s="22" t="inlineStr">
        <is>
          <t>Test Type</t>
        </is>
      </c>
      <c r="L4" s="22" t="inlineStr">
        <is>
          <t>Tester</t>
        </is>
      </c>
      <c r="M4" s="22" t="inlineStr">
        <is>
          <t>Execution Date</t>
        </is>
      </c>
      <c r="N4" s="22" t="inlineStr">
        <is>
          <t>Notes</t>
        </is>
      </c>
    </row>
    <row r="5" ht="46" customHeight="1">
      <c r="A5" s="23" t="inlineStr">
        <is>
          <t>DAS-001</t>
        </is>
      </c>
      <c r="B5" s="23" t="inlineStr">
        <is>
          <t>Page Load</t>
        </is>
      </c>
      <c r="C5" s="23" t="inlineStr">
        <is>
          <t>Verify dashboard page loads</t>
        </is>
      </c>
      <c r="D5" s="23" t="inlineStr"/>
      <c r="E5" s="23" t="inlineStr">
        <is>
          <t>Open the dashboard page</t>
        </is>
      </c>
      <c r="F5" s="23" t="inlineStr"/>
      <c r="G5" s="23" t="inlineStr">
        <is>
          <t>Dashboard opens successfully</t>
        </is>
      </c>
      <c r="H5" s="23" t="inlineStr">
        <is>
          <t>Dashboard opens successfully</t>
        </is>
      </c>
      <c r="I5" s="23" t="inlineStr">
        <is>
          <t>Passed</t>
        </is>
      </c>
      <c r="J5" s="23" t="inlineStr">
        <is>
          <t>Medium</t>
        </is>
      </c>
      <c r="K5" s="23" t="inlineStr">
        <is>
          <t>Functional</t>
        </is>
      </c>
      <c r="L5" s="23" t="inlineStr">
        <is>
          <t>QA Team</t>
        </is>
      </c>
      <c r="M5" s="23" t="inlineStr"/>
      <c r="N5" s="23" t="inlineStr"/>
    </row>
    <row r="6" ht="46" customHeight="1">
      <c r="A6" s="24" t="inlineStr">
        <is>
          <t>DAS-002</t>
        </is>
      </c>
      <c r="B6" s="24" t="inlineStr">
        <is>
          <t>Profile</t>
        </is>
      </c>
      <c r="C6" s="24" t="inlineStr">
        <is>
          <t>Verify admin profile data</t>
        </is>
      </c>
      <c r="D6" s="24" t="inlineStr"/>
      <c r="E6" s="24" t="inlineStr">
        <is>
          <t>Check profile image, admin name and role</t>
        </is>
      </c>
      <c r="F6" s="24" t="inlineStr"/>
      <c r="G6" s="24" t="inlineStr">
        <is>
          <t>Correct information is displayed</t>
        </is>
      </c>
      <c r="H6" s="24" t="inlineStr">
        <is>
          <t>Correct information is displayed</t>
        </is>
      </c>
      <c r="I6" s="24" t="inlineStr">
        <is>
          <t>Passed</t>
        </is>
      </c>
      <c r="J6" s="24" t="inlineStr">
        <is>
          <t>Medium</t>
        </is>
      </c>
      <c r="K6" s="24" t="inlineStr">
        <is>
          <t>Functional</t>
        </is>
      </c>
      <c r="L6" s="24" t="inlineStr">
        <is>
          <t>QA Team</t>
        </is>
      </c>
      <c r="M6" s="24" t="inlineStr"/>
      <c r="N6" s="24" t="inlineStr"/>
    </row>
    <row r="7" ht="46" customHeight="1">
      <c r="A7" s="23" t="inlineStr">
        <is>
          <t>DAS-003</t>
        </is>
      </c>
      <c r="B7" s="23" t="inlineStr">
        <is>
          <t>Search</t>
        </is>
      </c>
      <c r="C7" s="23" t="inlineStr">
        <is>
          <t>Search with valid keyword</t>
        </is>
      </c>
      <c r="D7" s="23" t="inlineStr"/>
      <c r="E7" s="23" t="inlineStr">
        <is>
          <t>Enter text in the search box</t>
        </is>
      </c>
      <c r="F7" s="23" t="inlineStr"/>
      <c r="G7" s="23" t="inlineStr">
        <is>
          <t>Relevant results are displayed</t>
        </is>
      </c>
      <c r="H7" s="23" t="inlineStr">
        <is>
          <t>search doesn't work</t>
        </is>
      </c>
      <c r="I7" s="23" t="inlineStr">
        <is>
          <t>Failed</t>
        </is>
      </c>
      <c r="J7" s="23" t="inlineStr">
        <is>
          <t>Medium</t>
        </is>
      </c>
      <c r="K7" s="23" t="inlineStr">
        <is>
          <t>Functional</t>
        </is>
      </c>
      <c r="L7" s="23" t="inlineStr">
        <is>
          <t>QA Team</t>
        </is>
      </c>
      <c r="M7" s="23" t="inlineStr"/>
      <c r="N7" s="23" t="inlineStr"/>
    </row>
    <row r="8" ht="46" customHeight="1">
      <c r="A8" s="24" t="inlineStr">
        <is>
          <t>DAS-004</t>
        </is>
      </c>
      <c r="B8" s="24" t="inlineStr">
        <is>
          <t>Statistics</t>
        </is>
      </c>
      <c r="C8" s="24" t="inlineStr">
        <is>
          <t>Verify total students card</t>
        </is>
      </c>
      <c r="D8" s="24" t="inlineStr"/>
      <c r="E8" s="24" t="inlineStr">
        <is>
          <t>Check Total Students card</t>
        </is>
      </c>
      <c r="F8" s="24" t="inlineStr"/>
      <c r="G8" s="24" t="inlineStr">
        <is>
          <t>Correct number of students is shown</t>
        </is>
      </c>
      <c r="H8" s="24" t="inlineStr">
        <is>
          <t>Correct number of students is shown</t>
        </is>
      </c>
      <c r="I8" s="24" t="inlineStr">
        <is>
          <t>Passed</t>
        </is>
      </c>
      <c r="J8" s="24" t="inlineStr">
        <is>
          <t>Medium</t>
        </is>
      </c>
      <c r="K8" s="24" t="inlineStr">
        <is>
          <t>Functional</t>
        </is>
      </c>
      <c r="L8" s="24" t="inlineStr">
        <is>
          <t>QA Team</t>
        </is>
      </c>
      <c r="M8" s="24" t="inlineStr"/>
      <c r="N8" s="24" t="inlineStr"/>
    </row>
    <row r="9" ht="46" customHeight="1">
      <c r="A9" s="23" t="inlineStr">
        <is>
          <t>DAS-005</t>
        </is>
      </c>
      <c r="B9" s="23" t="inlineStr">
        <is>
          <t>Statistics</t>
        </is>
      </c>
      <c r="C9" s="23" t="inlineStr">
        <is>
          <t>Verify total engineers card</t>
        </is>
      </c>
      <c r="D9" s="23" t="inlineStr"/>
      <c r="E9" s="23" t="inlineStr">
        <is>
          <t>Check Total Engineers card</t>
        </is>
      </c>
      <c r="F9" s="23" t="inlineStr"/>
      <c r="G9" s="23" t="inlineStr">
        <is>
          <t>Correct number of engineers is shown</t>
        </is>
      </c>
      <c r="H9" s="23" t="inlineStr">
        <is>
          <t>Correct number of engineers is shown</t>
        </is>
      </c>
      <c r="I9" s="23" t="inlineStr">
        <is>
          <t>Passed</t>
        </is>
      </c>
      <c r="J9" s="23" t="inlineStr">
        <is>
          <t>Medium</t>
        </is>
      </c>
      <c r="K9" s="23" t="inlineStr">
        <is>
          <t>Functional</t>
        </is>
      </c>
      <c r="L9" s="23" t="inlineStr">
        <is>
          <t>QA Team</t>
        </is>
      </c>
      <c r="M9" s="23" t="inlineStr"/>
      <c r="N9" s="23" t="inlineStr"/>
    </row>
    <row r="10" ht="46" customHeight="1">
      <c r="A10" s="24" t="inlineStr">
        <is>
          <t>DAS-006</t>
        </is>
      </c>
      <c r="B10" s="24" t="inlineStr">
        <is>
          <t>Statistics</t>
        </is>
      </c>
      <c r="C10" s="24" t="inlineStr">
        <is>
          <t>Verify training programs card</t>
        </is>
      </c>
      <c r="D10" s="24" t="inlineStr"/>
      <c r="E10" s="24" t="inlineStr">
        <is>
          <t>Check Training Program card</t>
        </is>
      </c>
      <c r="F10" s="24" t="inlineStr"/>
      <c r="G10" s="24" t="inlineStr">
        <is>
          <t>Correct number of programs is shown</t>
        </is>
      </c>
      <c r="H10" s="24" t="inlineStr">
        <is>
          <t>Correct number of programs is shown</t>
        </is>
      </c>
      <c r="I10" s="24" t="inlineStr">
        <is>
          <t>Passed</t>
        </is>
      </c>
      <c r="J10" s="24" t="inlineStr">
        <is>
          <t>Medium</t>
        </is>
      </c>
      <c r="K10" s="24" t="inlineStr">
        <is>
          <t>Functional</t>
        </is>
      </c>
      <c r="L10" s="24" t="inlineStr">
        <is>
          <t>QA Team</t>
        </is>
      </c>
      <c r="M10" s="24" t="inlineStr"/>
      <c r="N10" s="24" t="inlineStr"/>
    </row>
    <row r="11" ht="46" customHeight="1">
      <c r="A11" s="23" t="inlineStr">
        <is>
          <t>DAS-007</t>
        </is>
      </c>
      <c r="B11" s="23" t="inlineStr">
        <is>
          <t>Performance Chart</t>
        </is>
      </c>
      <c r="C11" s="23" t="inlineStr">
        <is>
          <t>Verify Performance Overview chart</t>
        </is>
      </c>
      <c r="D11" s="23" t="inlineStr"/>
      <c r="E11" s="23" t="inlineStr">
        <is>
          <t>Open chart section</t>
        </is>
      </c>
      <c r="F11" s="23" t="inlineStr"/>
      <c r="G11" s="23" t="inlineStr">
        <is>
          <t>Chart data is displayed correctly</t>
        </is>
      </c>
      <c r="H11" s="23" t="inlineStr">
        <is>
          <t>Chart data is displayed correctly</t>
        </is>
      </c>
      <c r="I11" s="23" t="inlineStr">
        <is>
          <t>Passed</t>
        </is>
      </c>
      <c r="J11" s="23" t="inlineStr">
        <is>
          <t>Medium</t>
        </is>
      </c>
      <c r="K11" s="23" t="inlineStr">
        <is>
          <t>Functional</t>
        </is>
      </c>
      <c r="L11" s="23" t="inlineStr">
        <is>
          <t>QA Team</t>
        </is>
      </c>
      <c r="M11" s="23" t="inlineStr"/>
      <c r="N11" s="23" t="inlineStr"/>
    </row>
    <row r="12" ht="46" customHeight="1">
      <c r="A12" s="24" t="inlineStr">
        <is>
          <t>DAS-008</t>
        </is>
      </c>
      <c r="B12" s="24" t="inlineStr">
        <is>
          <t>Performance Chart</t>
        </is>
      </c>
      <c r="C12" s="24" t="inlineStr">
        <is>
          <t>Verify year filter</t>
        </is>
      </c>
      <c r="D12" s="24" t="inlineStr"/>
      <c r="E12" s="24" t="inlineStr">
        <is>
          <t>Change selected year</t>
        </is>
      </c>
      <c r="F12" s="24" t="inlineStr"/>
      <c r="G12" s="24" t="inlineStr">
        <is>
          <t>Chart updates successfully</t>
        </is>
      </c>
      <c r="H12" s="24" t="inlineStr">
        <is>
          <t>Chart updates successfully</t>
        </is>
      </c>
      <c r="I12" s="24" t="inlineStr">
        <is>
          <t>Passed</t>
        </is>
      </c>
      <c r="J12" s="24" t="inlineStr">
        <is>
          <t>Medium</t>
        </is>
      </c>
      <c r="K12" s="24" t="inlineStr">
        <is>
          <t>Functional</t>
        </is>
      </c>
      <c r="L12" s="24" t="inlineStr">
        <is>
          <t>QA Team</t>
        </is>
      </c>
      <c r="M12" s="24" t="inlineStr"/>
      <c r="N12" s="24" t="inlineStr"/>
    </row>
    <row r="13" ht="46" customHeight="1">
      <c r="A13" s="23" t="inlineStr">
        <is>
          <t>DAS-009</t>
        </is>
      </c>
      <c r="B13" s="23" t="inlineStr">
        <is>
          <t>Students Chart</t>
        </is>
      </c>
      <c r="C13" s="23" t="inlineStr">
        <is>
          <t>Verify Students Overview chart</t>
        </is>
      </c>
      <c r="D13" s="23" t="inlineStr"/>
      <c r="E13" s="23" t="inlineStr">
        <is>
          <t>Check donut chart values</t>
        </is>
      </c>
      <c r="F13" s="23" t="inlineStr"/>
      <c r="G13" s="23" t="inlineStr">
        <is>
          <t>Student distribution is correct</t>
        </is>
      </c>
      <c r="H13" s="23" t="inlineStr">
        <is>
          <t>Student distribution is correct</t>
        </is>
      </c>
      <c r="I13" s="23" t="inlineStr">
        <is>
          <t>Passed</t>
        </is>
      </c>
      <c r="J13" s="23" t="inlineStr">
        <is>
          <t>Medium</t>
        </is>
      </c>
      <c r="K13" s="23" t="inlineStr">
        <is>
          <t>Functional</t>
        </is>
      </c>
      <c r="L13" s="23" t="inlineStr">
        <is>
          <t>QA Team</t>
        </is>
      </c>
      <c r="M13" s="23" t="inlineStr"/>
      <c r="N13" s="23" t="inlineStr"/>
    </row>
    <row r="14" ht="46" customHeight="1">
      <c r="A14" s="24" t="inlineStr">
        <is>
          <t>DAS-010</t>
        </is>
      </c>
      <c r="B14" s="24" t="inlineStr">
        <is>
          <t>Recent Activities</t>
        </is>
      </c>
      <c r="C14" s="24" t="inlineStr">
        <is>
          <t>Verify recent activities panel</t>
        </is>
      </c>
      <c r="D14" s="24" t="inlineStr"/>
      <c r="E14" s="24" t="inlineStr">
        <is>
          <t>Open Recent Activities section</t>
        </is>
      </c>
      <c r="F14" s="24" t="inlineStr"/>
      <c r="G14" s="24" t="inlineStr">
        <is>
          <t>Activities are displayed correctly</t>
        </is>
      </c>
      <c r="H14" s="24" t="inlineStr">
        <is>
          <t>Recent Activities</t>
        </is>
      </c>
      <c r="I14" s="24" t="inlineStr">
        <is>
          <t>Passed</t>
        </is>
      </c>
      <c r="J14" s="24" t="inlineStr">
        <is>
          <t>Medium</t>
        </is>
      </c>
      <c r="K14" s="24" t="inlineStr">
        <is>
          <t>Functional</t>
        </is>
      </c>
      <c r="L14" s="24" t="inlineStr">
        <is>
          <t>QA Team</t>
        </is>
      </c>
      <c r="M14" s="24" t="inlineStr"/>
      <c r="N14" s="24" t="inlineStr"/>
    </row>
    <row r="15" ht="46" customHeight="1">
      <c r="A15" s="23" t="inlineStr">
        <is>
          <t>DAS-011</t>
        </is>
      </c>
      <c r="B15" s="23" t="inlineStr">
        <is>
          <t>Recent Activities</t>
        </is>
      </c>
      <c r="C15" s="23" t="inlineStr">
        <is>
          <t>Verify View All button</t>
        </is>
      </c>
      <c r="D15" s="23" t="inlineStr"/>
      <c r="E15" s="23" t="inlineStr">
        <is>
          <t>Click View All</t>
        </is>
      </c>
      <c r="F15" s="23" t="inlineStr"/>
      <c r="G15" s="23" t="inlineStr">
        <is>
          <t>Activities page opens</t>
        </is>
      </c>
      <c r="H15" s="23" t="inlineStr">
        <is>
          <t>Activities page opens</t>
        </is>
      </c>
      <c r="I15" s="23" t="inlineStr">
        <is>
          <t>Passed</t>
        </is>
      </c>
      <c r="J15" s="23" t="inlineStr">
        <is>
          <t>Medium</t>
        </is>
      </c>
      <c r="K15" s="23" t="inlineStr">
        <is>
          <t>Functional</t>
        </is>
      </c>
      <c r="L15" s="23" t="inlineStr">
        <is>
          <t>QA Team</t>
        </is>
      </c>
      <c r="M15" s="23" t="inlineStr"/>
      <c r="N15" s="23" t="inlineStr"/>
    </row>
    <row r="16" ht="46" customHeight="1">
      <c r="A16" s="24" t="inlineStr">
        <is>
          <t>DAS-012</t>
        </is>
      </c>
      <c r="B16" s="24" t="inlineStr">
        <is>
          <t>Sidebar</t>
        </is>
      </c>
      <c r="C16" s="24" t="inlineStr">
        <is>
          <t>Verify sidebar links</t>
        </is>
      </c>
      <c r="D16" s="24" t="inlineStr"/>
      <c r="E16" s="24" t="inlineStr">
        <is>
          <t>Click each sidebar item</t>
        </is>
      </c>
      <c r="F16" s="24" t="inlineStr"/>
      <c r="G16" s="24" t="inlineStr">
        <is>
          <t>Correct page opens</t>
        </is>
      </c>
      <c r="H16" s="24" t="inlineStr">
        <is>
          <t>Correct page opens</t>
        </is>
      </c>
      <c r="I16" s="24" t="inlineStr">
        <is>
          <t>Passed</t>
        </is>
      </c>
      <c r="J16" s="24" t="inlineStr">
        <is>
          <t>Medium</t>
        </is>
      </c>
      <c r="K16" s="24" t="inlineStr">
        <is>
          <t>Functional</t>
        </is>
      </c>
      <c r="L16" s="24" t="inlineStr">
        <is>
          <t>QA Team</t>
        </is>
      </c>
      <c r="M16" s="24" t="inlineStr"/>
      <c r="N16" s="24" t="inlineStr"/>
    </row>
    <row r="17" ht="46" customHeight="1">
      <c r="A17" s="23" t="inlineStr">
        <is>
          <t>DAS-013</t>
        </is>
      </c>
      <c r="B17" s="23" t="inlineStr">
        <is>
          <t>API/Database</t>
        </is>
      </c>
      <c r="C17" s="23" t="inlineStr">
        <is>
          <t>Validate dashboard data</t>
        </is>
      </c>
      <c r="D17" s="23" t="inlineStr"/>
      <c r="E17" s="23" t="inlineStr">
        <is>
          <t>Compare values with API/database</t>
        </is>
      </c>
      <c r="F17" s="23" t="inlineStr"/>
      <c r="G17" s="23" t="inlineStr">
        <is>
          <t>Values match backend data</t>
        </is>
      </c>
      <c r="H17" s="23" t="inlineStr">
        <is>
          <t>Values match backend data</t>
        </is>
      </c>
      <c r="I17" s="23" t="inlineStr">
        <is>
          <t>Passed</t>
        </is>
      </c>
      <c r="J17" s="23" t="inlineStr">
        <is>
          <t>Medium</t>
        </is>
      </c>
      <c r="K17" s="23" t="inlineStr">
        <is>
          <t>Functional</t>
        </is>
      </c>
      <c r="L17" s="23" t="inlineStr">
        <is>
          <t>QA Team</t>
        </is>
      </c>
      <c r="M17" s="23" t="inlineStr"/>
      <c r="N17" s="23" t="inlineStr"/>
    </row>
    <row r="18" ht="46" customHeight="1">
      <c r="A18" s="24" t="inlineStr">
        <is>
          <t>DAS-014</t>
        </is>
      </c>
      <c r="B18" s="24" t="inlineStr">
        <is>
          <t>Responsive</t>
        </is>
      </c>
      <c r="C18" s="24" t="inlineStr">
        <is>
          <t>Verify responsive design</t>
        </is>
      </c>
      <c r="D18" s="24" t="inlineStr"/>
      <c r="E18" s="24" t="inlineStr">
        <is>
          <t>Open dashboard on different devices</t>
        </is>
      </c>
      <c r="F18" s="24" t="inlineStr"/>
      <c r="G18" s="24" t="inlineStr">
        <is>
          <t>Layout remains usable</t>
        </is>
      </c>
      <c r="H18" s="24" t="inlineStr">
        <is>
          <t>Layout remains usable</t>
        </is>
      </c>
      <c r="I18" s="24" t="inlineStr">
        <is>
          <t>Passed</t>
        </is>
      </c>
      <c r="J18" s="24" t="inlineStr">
        <is>
          <t>Medium</t>
        </is>
      </c>
      <c r="K18" s="24" t="inlineStr">
        <is>
          <t>Functional</t>
        </is>
      </c>
      <c r="L18" s="24" t="inlineStr">
        <is>
          <t>QA Team</t>
        </is>
      </c>
      <c r="M18" s="24" t="inlineStr"/>
      <c r="N18" s="24" t="inlineStr"/>
    </row>
    <row r="19" ht="46" customHeight="1">
      <c r="A19" s="23" t="inlineStr">
        <is>
          <t>DAS-015</t>
        </is>
      </c>
      <c r="B19" s="23" t="inlineStr">
        <is>
          <t>Dashboard</t>
        </is>
      </c>
      <c r="C19" s="23" t="inlineStr">
        <is>
          <t>Route smoke test</t>
        </is>
      </c>
      <c r="D19" s="23" t="inlineStr"/>
      <c r="E19" s="23" t="inlineStr">
        <is>
          <t>The Angular route resolves without a 404.</t>
        </is>
      </c>
      <c r="F19" s="23" t="inlineStr"/>
      <c r="G19" s="23" t="inlineStr">
        <is>
          <t>Development server running</t>
        </is>
      </c>
      <c r="H19" s="23" t="inlineStr">
        <is>
          <t>Open the implemented route on localhost:4200</t>
        </is>
      </c>
      <c r="I19" s="23" t="inlineStr">
        <is>
          <t>Not Run</t>
        </is>
      </c>
      <c r="J19" s="23" t="inlineStr">
        <is>
          <t>The Angular route resolves without a 404.</t>
        </is>
      </c>
      <c r="K19" s="23" t="inlineStr">
        <is>
          <t>Functional</t>
        </is>
      </c>
      <c r="L19" s="23" t="inlineStr">
        <is>
          <t>Not executed: requires isolated test data, credentials, or controlled API failure.</t>
        </is>
      </c>
      <c r="M19" s="23" t="inlineStr">
        <is>
          <t>Not Run</t>
        </is>
      </c>
      <c r="N19" s="23" t="inlineStr">
        <is>
          <t>Medium</t>
        </is>
      </c>
    </row>
    <row r="20" ht="46" customHeight="1">
      <c r="A20" s="24" t="inlineStr">
        <is>
          <t>DAS-016</t>
        </is>
      </c>
      <c r="B20" s="24" t="inlineStr">
        <is>
          <t>Dashboard</t>
        </is>
      </c>
      <c r="C20" s="24" t="inlineStr">
        <is>
          <t>Read-only API availability</t>
        </is>
      </c>
      <c r="D20" s="24" t="inlineStr"/>
      <c r="E20" s="24" t="inlineStr">
        <is>
          <t>Read-only data requests complete or a user-visible error is shown.</t>
        </is>
      </c>
      <c r="F20" s="24" t="inlineStr"/>
      <c r="G20" s="24" t="inlineStr">
        <is>
          <t>Local API at localhost:8080</t>
        </is>
      </c>
      <c r="H20" s="24" t="inlineStr">
        <is>
          <t>Load page with the local API running</t>
        </is>
      </c>
      <c r="I20" s="24" t="inlineStr">
        <is>
          <t>Not Run</t>
        </is>
      </c>
      <c r="J20" s="24" t="inlineStr">
        <is>
          <t>Read-only data requests complete or a user-visible error is shown.</t>
        </is>
      </c>
      <c r="K20" s="24" t="inlineStr">
        <is>
          <t>Functional</t>
        </is>
      </c>
      <c r="L20" s="24" t="inlineStr">
        <is>
          <t>Not executed: requires isolated test data, credentials, or controlled API failure.</t>
        </is>
      </c>
      <c r="M20" s="24" t="inlineStr">
        <is>
          <t>Not Run</t>
        </is>
      </c>
      <c r="N20" s="24" t="inlineStr">
        <is>
          <t>Medium</t>
        </is>
      </c>
    </row>
    <row r="21" ht="46" customHeight="1">
      <c r="A21" s="23" t="inlineStr">
        <is>
          <t>DAS-017</t>
        </is>
      </c>
      <c r="B21" s="23" t="inlineStr">
        <is>
          <t>Dashboard</t>
        </is>
      </c>
      <c r="C21" s="23" t="inlineStr">
        <is>
          <t>Data-changing regression</t>
        </is>
      </c>
      <c r="D21" s="23" t="inlineStr"/>
      <c r="E21" s="23" t="inlineStr">
        <is>
          <t>Only the test record is changed and can be cleaned up.</t>
        </is>
      </c>
      <c r="F21" s="23" t="inlineStr"/>
      <c r="G21" s="23" t="inlineStr">
        <is>
          <t>Dedicated test database and account</t>
        </is>
      </c>
      <c r="H21" s="23" t="inlineStr">
        <is>
          <t>Create, edit, or delete a record using an isolated test account</t>
        </is>
      </c>
      <c r="I21" s="23" t="inlineStr">
        <is>
          <t>Not Run</t>
        </is>
      </c>
      <c r="J21" s="23" t="inlineStr">
        <is>
          <t>Only the test record is changed and can be cleaned up.</t>
        </is>
      </c>
      <c r="K21" s="23" t="inlineStr">
        <is>
          <t>Functional</t>
        </is>
      </c>
      <c r="L21" s="23" t="inlineStr">
        <is>
          <t>Not executed: requires isolated test data, credentials, or controlled API failure.</t>
        </is>
      </c>
      <c r="M21" s="23" t="inlineStr">
        <is>
          <t>Not Run</t>
        </is>
      </c>
      <c r="N21" s="23" t="inlineStr">
        <is>
          <t>Medium</t>
        </is>
      </c>
    </row>
    <row r="22" ht="46" customHeight="1">
      <c r="A22" s="24" t="inlineStr">
        <is>
          <t>ENG-001</t>
        </is>
      </c>
      <c r="B22" s="24" t="inlineStr">
        <is>
          <t>Engineers</t>
        </is>
      </c>
      <c r="C22" s="24" t="inlineStr">
        <is>
          <t>Verify Engineers page loads</t>
        </is>
      </c>
      <c r="D22" s="24" t="inlineStr"/>
      <c r="E22" s="24" t="inlineStr">
        <is>
          <t>Open Engineers page</t>
        </is>
      </c>
      <c r="F22" s="24" t="inlineStr"/>
      <c r="G22" s="24" t="inlineStr">
        <is>
          <t>Page loads with sidebar, search, filters, buttons and table</t>
        </is>
      </c>
      <c r="H22" s="24" t="inlineStr">
        <is>
          <t>Page loads with sidebar, search, filters, buttons and table</t>
        </is>
      </c>
      <c r="I22" s="24" t="inlineStr">
        <is>
          <t>Passed</t>
        </is>
      </c>
      <c r="J22" s="24" t="inlineStr">
        <is>
          <t>Medium</t>
        </is>
      </c>
      <c r="K22" s="24" t="inlineStr">
        <is>
          <t>Functional</t>
        </is>
      </c>
      <c r="L22" s="24" t="inlineStr">
        <is>
          <t>QA Team</t>
        </is>
      </c>
      <c r="M22" s="24" t="inlineStr"/>
      <c r="N22" s="24" t="inlineStr"/>
    </row>
    <row r="23" ht="46" customHeight="1">
      <c r="A23" s="23" t="inlineStr">
        <is>
          <t>ENG-002</t>
        </is>
      </c>
      <c r="B23" s="23" t="inlineStr">
        <is>
          <t>Search</t>
        </is>
      </c>
      <c r="C23" s="23" t="inlineStr">
        <is>
          <t>Search by engineer name</t>
        </is>
      </c>
      <c r="D23" s="23" t="inlineStr"/>
      <c r="E23" s="23" t="inlineStr">
        <is>
          <t>Enter valid engineer name in search box</t>
        </is>
      </c>
      <c r="F23" s="23" t="inlineStr"/>
      <c r="G23" s="23" t="inlineStr">
        <is>
          <t>Matching engineer is displayed</t>
        </is>
      </c>
      <c r="H23" s="23" t="inlineStr">
        <is>
          <t>Matching engineer is displayed</t>
        </is>
      </c>
      <c r="I23" s="23" t="inlineStr">
        <is>
          <t>Passed</t>
        </is>
      </c>
      <c r="J23" s="23" t="inlineStr">
        <is>
          <t>Medium</t>
        </is>
      </c>
      <c r="K23" s="23" t="inlineStr">
        <is>
          <t>Functional</t>
        </is>
      </c>
      <c r="L23" s="23" t="inlineStr">
        <is>
          <t>QA Team</t>
        </is>
      </c>
      <c r="M23" s="23" t="inlineStr"/>
      <c r="N23" s="23" t="inlineStr"/>
    </row>
    <row r="24" ht="46" customHeight="1">
      <c r="A24" s="24" t="inlineStr">
        <is>
          <t>ENG-003</t>
        </is>
      </c>
      <c r="B24" s="24" t="inlineStr">
        <is>
          <t>Search</t>
        </is>
      </c>
      <c r="C24" s="24" t="inlineStr">
        <is>
          <t>Search by invalid text</t>
        </is>
      </c>
      <c r="D24" s="24" t="inlineStr"/>
      <c r="E24" s="24" t="inlineStr">
        <is>
          <t>Enter invalid text</t>
        </is>
      </c>
      <c r="F24" s="24" t="inlineStr"/>
      <c r="G24" s="24" t="inlineStr">
        <is>
          <t>No records message or empty table appears</t>
        </is>
      </c>
      <c r="H24" s="24" t="inlineStr">
        <is>
          <t>show no engineers found</t>
        </is>
      </c>
      <c r="I24" s="24" t="inlineStr">
        <is>
          <t>Passed</t>
        </is>
      </c>
      <c r="J24" s="24" t="inlineStr">
        <is>
          <t>Medium</t>
        </is>
      </c>
      <c r="K24" s="24" t="inlineStr">
        <is>
          <t>Functional</t>
        </is>
      </c>
      <c r="L24" s="24" t="inlineStr">
        <is>
          <t>QA Team</t>
        </is>
      </c>
      <c r="M24" s="24" t="inlineStr"/>
      <c r="N24" s="24" t="inlineStr"/>
    </row>
    <row r="25" ht="46" customHeight="1">
      <c r="A25" s="23" t="inlineStr">
        <is>
          <t>ENG-004</t>
        </is>
      </c>
      <c r="B25" s="23" t="inlineStr">
        <is>
          <t>Filter</t>
        </is>
      </c>
      <c r="C25" s="23" t="inlineStr">
        <is>
          <t>Filter active engineers</t>
        </is>
      </c>
      <c r="D25" s="23" t="inlineStr"/>
      <c r="E25" s="23" t="inlineStr">
        <is>
          <t>Select Active from dropdown</t>
        </is>
      </c>
      <c r="F25" s="23" t="inlineStr"/>
      <c r="G25" s="23" t="inlineStr">
        <is>
          <t>Only active engineers are displayed</t>
        </is>
      </c>
      <c r="H25" s="23" t="inlineStr">
        <is>
          <t>only active engineers are displayed</t>
        </is>
      </c>
      <c r="I25" s="23" t="inlineStr">
        <is>
          <t>Passed</t>
        </is>
      </c>
      <c r="J25" s="23" t="inlineStr">
        <is>
          <t>Medium</t>
        </is>
      </c>
      <c r="K25" s="23" t="inlineStr">
        <is>
          <t>Functional</t>
        </is>
      </c>
      <c r="L25" s="23" t="inlineStr">
        <is>
          <t>QA Team</t>
        </is>
      </c>
      <c r="M25" s="23" t="inlineStr"/>
      <c r="N25" s="23" t="inlineStr"/>
    </row>
    <row r="26" ht="46" customHeight="1">
      <c r="A26" s="24" t="inlineStr">
        <is>
          <t>ENG-005</t>
        </is>
      </c>
      <c r="B26" s="24" t="inlineStr">
        <is>
          <t>Add Engineer</t>
        </is>
      </c>
      <c r="C26" s="24" t="inlineStr">
        <is>
          <t>Open Add Engineer form</t>
        </is>
      </c>
      <c r="D26" s="24" t="inlineStr"/>
      <c r="E26" s="24" t="inlineStr">
        <is>
          <t>Click Add Engineer button</t>
        </is>
      </c>
      <c r="F26" s="24" t="inlineStr"/>
      <c r="G26" s="24" t="inlineStr">
        <is>
          <t>Add Engineer form opens</t>
        </is>
      </c>
      <c r="H26" s="24" t="inlineStr">
        <is>
          <t>Add engineer form opens</t>
        </is>
      </c>
      <c r="I26" s="24" t="inlineStr">
        <is>
          <t>Passed</t>
        </is>
      </c>
      <c r="J26" s="24" t="inlineStr">
        <is>
          <t>Medium</t>
        </is>
      </c>
      <c r="K26" s="24" t="inlineStr">
        <is>
          <t>Functional</t>
        </is>
      </c>
      <c r="L26" s="24" t="inlineStr">
        <is>
          <t>QA Team</t>
        </is>
      </c>
      <c r="M26" s="24" t="inlineStr"/>
      <c r="N26" s="24" t="inlineStr"/>
    </row>
    <row r="27" ht="46" customHeight="1">
      <c r="A27" s="23" t="inlineStr">
        <is>
          <t>ENG-006</t>
        </is>
      </c>
      <c r="B27" s="23" t="inlineStr">
        <is>
          <t>Report</t>
        </is>
      </c>
      <c r="C27" s="23" t="inlineStr">
        <is>
          <t>Create engineer report</t>
        </is>
      </c>
      <c r="D27" s="23" t="inlineStr"/>
      <c r="E27" s="23" t="inlineStr">
        <is>
          <t>Click Create Engineer Report</t>
        </is>
      </c>
      <c r="F27" s="23" t="inlineStr"/>
      <c r="G27" s="23" t="inlineStr">
        <is>
          <t>Report page/file is generated</t>
        </is>
      </c>
      <c r="H27" s="23" t="inlineStr">
        <is>
          <t>Report page/file is generated</t>
        </is>
      </c>
      <c r="I27" s="23" t="inlineStr">
        <is>
          <t>Passed</t>
        </is>
      </c>
      <c r="J27" s="23" t="inlineStr">
        <is>
          <t>Medium</t>
        </is>
      </c>
      <c r="K27" s="23" t="inlineStr">
        <is>
          <t>Functional</t>
        </is>
      </c>
      <c r="L27" s="23" t="inlineStr">
        <is>
          <t>QA Team</t>
        </is>
      </c>
      <c r="M27" s="23" t="inlineStr"/>
      <c r="N27" s="23" t="inlineStr"/>
    </row>
    <row r="28" ht="46" customHeight="1">
      <c r="A28" s="24" t="inlineStr">
        <is>
          <t>ENG-007</t>
        </is>
      </c>
      <c r="B28" s="24" t="inlineStr">
        <is>
          <t>Table</t>
        </is>
      </c>
      <c r="C28" s="24" t="inlineStr">
        <is>
          <t>Verify engineer details</t>
        </is>
      </c>
      <c r="D28" s="24" t="inlineStr"/>
      <c r="E28" s="24" t="inlineStr">
        <is>
          <t>Check ID, Engineer, Education, Email, Status, Experience columns</t>
        </is>
      </c>
      <c r="F28" s="24" t="inlineStr"/>
      <c r="G28" s="24" t="inlineStr">
        <is>
          <t>All columns display correct data</t>
        </is>
      </c>
      <c r="H28" s="24" t="inlineStr">
        <is>
          <t>All columns display correct data</t>
        </is>
      </c>
      <c r="I28" s="24" t="inlineStr">
        <is>
          <t>Passed</t>
        </is>
      </c>
      <c r="J28" s="24" t="inlineStr">
        <is>
          <t>Medium</t>
        </is>
      </c>
      <c r="K28" s="24" t="inlineStr">
        <is>
          <t>Functional</t>
        </is>
      </c>
      <c r="L28" s="24" t="inlineStr">
        <is>
          <t>QA Team</t>
        </is>
      </c>
      <c r="M28" s="24" t="inlineStr"/>
      <c r="N28" s="24" t="inlineStr"/>
    </row>
    <row r="29" ht="46" customHeight="1">
      <c r="A29" s="23" t="inlineStr">
        <is>
          <t>ENG-008</t>
        </is>
      </c>
      <c r="B29" s="23" t="inlineStr">
        <is>
          <t>Actions</t>
        </is>
      </c>
      <c r="C29" s="23" t="inlineStr">
        <is>
          <t>Edit engineer</t>
        </is>
      </c>
      <c r="D29" s="23" t="inlineStr"/>
      <c r="E29" s="23" t="inlineStr">
        <is>
          <t>Click edit icon</t>
        </is>
      </c>
      <c r="F29" s="23" t="inlineStr"/>
      <c r="G29" s="23" t="inlineStr">
        <is>
          <t>Edit page opens with engineer data</t>
        </is>
      </c>
      <c r="H29" s="23" t="inlineStr">
        <is>
          <t>Edit page opens with engineer data</t>
        </is>
      </c>
      <c r="I29" s="23" t="inlineStr">
        <is>
          <t>Passed</t>
        </is>
      </c>
      <c r="J29" s="23" t="inlineStr">
        <is>
          <t>Medium</t>
        </is>
      </c>
      <c r="K29" s="23" t="inlineStr">
        <is>
          <t>Functional</t>
        </is>
      </c>
      <c r="L29" s="23" t="inlineStr">
        <is>
          <t>QA Team</t>
        </is>
      </c>
      <c r="M29" s="23" t="inlineStr"/>
      <c r="N29" s="23" t="inlineStr"/>
    </row>
    <row r="30" ht="46" customHeight="1">
      <c r="A30" s="24" t="inlineStr">
        <is>
          <t>ENG-009</t>
        </is>
      </c>
      <c r="B30" s="24" t="inlineStr">
        <is>
          <t>Actions</t>
        </is>
      </c>
      <c r="C30" s="24" t="inlineStr">
        <is>
          <t>View engineer details</t>
        </is>
      </c>
      <c r="D30" s="24" t="inlineStr"/>
      <c r="E30" s="24" t="inlineStr">
        <is>
          <t>Click details icon</t>
        </is>
      </c>
      <c r="F30" s="24" t="inlineStr"/>
      <c r="G30" s="24" t="inlineStr">
        <is>
          <t>Engineer details page opens</t>
        </is>
      </c>
      <c r="H30" s="24" t="inlineStr">
        <is>
          <t>Engineer details page opens with the information</t>
        </is>
      </c>
      <c r="I30" s="24" t="inlineStr">
        <is>
          <t>Passed</t>
        </is>
      </c>
      <c r="J30" s="24" t="inlineStr">
        <is>
          <t>Medium</t>
        </is>
      </c>
      <c r="K30" s="24" t="inlineStr">
        <is>
          <t>Functional</t>
        </is>
      </c>
      <c r="L30" s="24" t="inlineStr">
        <is>
          <t>QA Team</t>
        </is>
      </c>
      <c r="M30" s="24" t="inlineStr"/>
      <c r="N30" s="24" t="inlineStr"/>
    </row>
    <row r="31" ht="46" customHeight="1">
      <c r="A31" s="23" t="inlineStr">
        <is>
          <t>ENG-010</t>
        </is>
      </c>
      <c r="B31" s="23" t="inlineStr">
        <is>
          <t>Actions</t>
        </is>
      </c>
      <c r="C31" s="23" t="inlineStr">
        <is>
          <t>Delete engineer</t>
        </is>
      </c>
      <c r="D31" s="23" t="inlineStr"/>
      <c r="E31" s="23" t="inlineStr">
        <is>
          <t>Click delete icon and confirm</t>
        </is>
      </c>
      <c r="F31" s="23" t="inlineStr"/>
      <c r="G31" s="23" t="inlineStr">
        <is>
          <t>Engineer is removed from table</t>
        </is>
      </c>
      <c r="H31" s="23" t="inlineStr">
        <is>
          <t>Engineer is removed from table</t>
        </is>
      </c>
      <c r="I31" s="23" t="inlineStr">
        <is>
          <t>Passed</t>
        </is>
      </c>
      <c r="J31" s="23" t="inlineStr">
        <is>
          <t>Medium</t>
        </is>
      </c>
      <c r="K31" s="23" t="inlineStr">
        <is>
          <t>Functional</t>
        </is>
      </c>
      <c r="L31" s="23" t="inlineStr">
        <is>
          <t>QA Team</t>
        </is>
      </c>
      <c r="M31" s="23" t="inlineStr"/>
      <c r="N31" s="23" t="inlineStr"/>
    </row>
    <row r="32" ht="46" customHeight="1">
      <c r="A32" s="24" t="inlineStr">
        <is>
          <t>ENG-011</t>
        </is>
      </c>
      <c r="B32" s="24" t="inlineStr">
        <is>
          <t>Navigation</t>
        </is>
      </c>
      <c r="C32" s="24" t="inlineStr">
        <is>
          <t>Verify sidebar navigation</t>
        </is>
      </c>
      <c r="D32" s="24" t="inlineStr"/>
      <c r="E32" s="24" t="inlineStr">
        <is>
          <t>Click each sidebar item</t>
        </is>
      </c>
      <c r="F32" s="24" t="inlineStr"/>
      <c r="G32" s="24" t="inlineStr">
        <is>
          <t>Correct page opens</t>
        </is>
      </c>
      <c r="H32" s="24" t="inlineStr">
        <is>
          <t>Correct page opens</t>
        </is>
      </c>
      <c r="I32" s="24" t="inlineStr">
        <is>
          <t>Passed</t>
        </is>
      </c>
      <c r="J32" s="24" t="inlineStr">
        <is>
          <t>Medium</t>
        </is>
      </c>
      <c r="K32" s="24" t="inlineStr">
        <is>
          <t>Functional</t>
        </is>
      </c>
      <c r="L32" s="24" t="inlineStr">
        <is>
          <t>QA Team</t>
        </is>
      </c>
      <c r="M32" s="24" t="inlineStr"/>
      <c r="N32" s="24" t="inlineStr"/>
    </row>
    <row r="33" ht="46" customHeight="1">
      <c r="A33" s="23" t="inlineStr">
        <is>
          <t>ENG-012</t>
        </is>
      </c>
      <c r="B33" s="23" t="inlineStr">
        <is>
          <t>Responsive</t>
        </is>
      </c>
      <c r="C33" s="23" t="inlineStr">
        <is>
          <t>Check page responsiveness</t>
        </is>
      </c>
      <c r="D33" s="23" t="inlineStr"/>
      <c r="E33" s="23" t="inlineStr">
        <is>
          <t>Open page on mobile/tablet</t>
        </is>
      </c>
      <c r="F33" s="23" t="inlineStr"/>
      <c r="G33" s="23" t="inlineStr">
        <is>
          <t>Layout remains usable</t>
        </is>
      </c>
      <c r="H33" s="23" t="inlineStr">
        <is>
          <t>Layout remains usable</t>
        </is>
      </c>
      <c r="I33" s="23" t="inlineStr">
        <is>
          <t>Passed</t>
        </is>
      </c>
      <c r="J33" s="23" t="inlineStr">
        <is>
          <t>Medium</t>
        </is>
      </c>
      <c r="K33" s="23" t="inlineStr">
        <is>
          <t>Functional</t>
        </is>
      </c>
      <c r="L33" s="23" t="inlineStr">
        <is>
          <t>QA Team</t>
        </is>
      </c>
      <c r="M33" s="23" t="inlineStr"/>
      <c r="N33" s="23" t="inlineStr"/>
    </row>
    <row r="34" ht="46" customHeight="1">
      <c r="A34" s="24" t="inlineStr">
        <is>
          <t>ENG-013</t>
        </is>
      </c>
      <c r="B34" s="24" t="inlineStr">
        <is>
          <t>Engineers List</t>
        </is>
      </c>
      <c r="C34" s="24" t="inlineStr">
        <is>
          <t>Route smoke test</t>
        </is>
      </c>
      <c r="D34" s="24" t="inlineStr"/>
      <c r="E34" s="24" t="inlineStr">
        <is>
          <t>The Angular route resolves without a 404.</t>
        </is>
      </c>
      <c r="F34" s="24" t="inlineStr"/>
      <c r="G34" s="24" t="inlineStr">
        <is>
          <t>Development server running</t>
        </is>
      </c>
      <c r="H34" s="24" t="inlineStr">
        <is>
          <t>Open the implemented route on localhost:4200</t>
        </is>
      </c>
      <c r="I34" s="24" t="inlineStr">
        <is>
          <t>Not Run</t>
        </is>
      </c>
      <c r="J34" s="24" t="inlineStr">
        <is>
          <t>The Angular route resolves without a 404.</t>
        </is>
      </c>
      <c r="K34" s="24" t="inlineStr">
        <is>
          <t>Functional</t>
        </is>
      </c>
      <c r="L34" s="24" t="inlineStr">
        <is>
          <t>Not executed: requires isolated test data, credentials, or controlled API failure.</t>
        </is>
      </c>
      <c r="M34" s="24" t="inlineStr">
        <is>
          <t>Not Run</t>
        </is>
      </c>
      <c r="N34" s="24" t="inlineStr">
        <is>
          <t>Medium</t>
        </is>
      </c>
    </row>
    <row r="35" ht="46" customHeight="1">
      <c r="A35" s="23" t="inlineStr">
        <is>
          <t>ENG-014</t>
        </is>
      </c>
      <c r="B35" s="23" t="inlineStr">
        <is>
          <t>Engineers List</t>
        </is>
      </c>
      <c r="C35" s="23" t="inlineStr">
        <is>
          <t>Read-only API availability</t>
        </is>
      </c>
      <c r="D35" s="23" t="inlineStr"/>
      <c r="E35" s="23" t="inlineStr">
        <is>
          <t>Read-only data requests complete or a user-visible error is shown.</t>
        </is>
      </c>
      <c r="F35" s="23" t="inlineStr"/>
      <c r="G35" s="23" t="inlineStr">
        <is>
          <t>Local API at localhost:8080</t>
        </is>
      </c>
      <c r="H35" s="23" t="inlineStr">
        <is>
          <t>Load page with the local API running</t>
        </is>
      </c>
      <c r="I35" s="23" t="inlineStr">
        <is>
          <t>Not Run</t>
        </is>
      </c>
      <c r="J35" s="23" t="inlineStr">
        <is>
          <t>Read-only data requests complete or a user-visible error is shown.</t>
        </is>
      </c>
      <c r="K35" s="23" t="inlineStr">
        <is>
          <t>Functional</t>
        </is>
      </c>
      <c r="L35" s="23" t="inlineStr">
        <is>
          <t>Not executed: requires isolated test data, credentials, or controlled API failure.</t>
        </is>
      </c>
      <c r="M35" s="23" t="inlineStr">
        <is>
          <t>Not Run</t>
        </is>
      </c>
      <c r="N35" s="23" t="inlineStr">
        <is>
          <t>Medium</t>
        </is>
      </c>
    </row>
    <row r="36" ht="46" customHeight="1">
      <c r="A36" s="24" t="inlineStr">
        <is>
          <t>ENG-015</t>
        </is>
      </c>
      <c r="B36" s="24" t="inlineStr">
        <is>
          <t>Engineers List</t>
        </is>
      </c>
      <c r="C36" s="24" t="inlineStr">
        <is>
          <t>Data-changing regression</t>
        </is>
      </c>
      <c r="D36" s="24" t="inlineStr"/>
      <c r="E36" s="24" t="inlineStr">
        <is>
          <t>Only the test record is changed and can be cleaned up.</t>
        </is>
      </c>
      <c r="F36" s="24" t="inlineStr"/>
      <c r="G36" s="24" t="inlineStr">
        <is>
          <t>Dedicated test database and account</t>
        </is>
      </c>
      <c r="H36" s="24" t="inlineStr">
        <is>
          <t>Create, edit, or delete a record using an isolated test account</t>
        </is>
      </c>
      <c r="I36" s="24" t="inlineStr">
        <is>
          <t>Not Run</t>
        </is>
      </c>
      <c r="J36" s="24" t="inlineStr">
        <is>
          <t>Only the test record is changed and can be cleaned up.</t>
        </is>
      </c>
      <c r="K36" s="24" t="inlineStr">
        <is>
          <t>Functional</t>
        </is>
      </c>
      <c r="L36" s="24" t="inlineStr">
        <is>
          <t>Not executed: requires isolated test data, credentials, or controlled API failure.</t>
        </is>
      </c>
      <c r="M36" s="24" t="inlineStr">
        <is>
          <t>Not Run</t>
        </is>
      </c>
      <c r="N36" s="24" t="inlineStr">
        <is>
          <t>Medium</t>
        </is>
      </c>
    </row>
    <row r="37" ht="46" customHeight="1">
      <c r="A37" s="23" t="inlineStr">
        <is>
          <t>ADD-001</t>
        </is>
      </c>
      <c r="B37" s="23" t="inlineStr">
        <is>
          <t>Page Load</t>
        </is>
      </c>
      <c r="C37" s="23" t="inlineStr">
        <is>
          <t>Verify Add Engineer page opens</t>
        </is>
      </c>
      <c r="D37" s="23" t="inlineStr"/>
      <c r="E37" s="23" t="inlineStr">
        <is>
          <t>Open Add Engineer page</t>
        </is>
      </c>
      <c r="F37" s="23" t="inlineStr"/>
      <c r="G37" s="23" t="inlineStr">
        <is>
          <t>The page opens successfully</t>
        </is>
      </c>
      <c r="H37" s="23" t="inlineStr">
        <is>
          <t>The page opens successfully</t>
        </is>
      </c>
      <c r="I37" s="23" t="inlineStr">
        <is>
          <t>Passed</t>
        </is>
      </c>
      <c r="J37" s="23" t="inlineStr">
        <is>
          <t>Medium</t>
        </is>
      </c>
      <c r="K37" s="23" t="inlineStr">
        <is>
          <t>Functional</t>
        </is>
      </c>
      <c r="L37" s="23" t="inlineStr">
        <is>
          <t>QA Team</t>
        </is>
      </c>
      <c r="M37" s="23" t="inlineStr"/>
      <c r="N37" s="23" t="inlineStr"/>
    </row>
    <row r="38" ht="46" customHeight="1">
      <c r="A38" s="24" t="inlineStr">
        <is>
          <t>ADD-002</t>
        </is>
      </c>
      <c r="B38" s="24" t="inlineStr">
        <is>
          <t>First Name</t>
        </is>
      </c>
      <c r="C38" s="24" t="inlineStr">
        <is>
          <t>Enter valid first name</t>
        </is>
      </c>
      <c r="D38" s="24" t="inlineStr"/>
      <c r="E38" s="24" t="inlineStr">
        <is>
          <t>Type a valid first name</t>
        </is>
      </c>
      <c r="F38" s="24" t="inlineStr"/>
      <c r="G38" s="24" t="inlineStr">
        <is>
          <t>Value is accepted</t>
        </is>
      </c>
      <c r="H38" s="24" t="inlineStr">
        <is>
          <t>Value is accepted</t>
        </is>
      </c>
      <c r="I38" s="24" t="inlineStr">
        <is>
          <t>Passed</t>
        </is>
      </c>
      <c r="J38" s="24" t="inlineStr">
        <is>
          <t>Medium</t>
        </is>
      </c>
      <c r="K38" s="24" t="inlineStr">
        <is>
          <t>Functional</t>
        </is>
      </c>
      <c r="L38" s="24" t="inlineStr">
        <is>
          <t>QA Team</t>
        </is>
      </c>
      <c r="M38" s="24" t="inlineStr"/>
      <c r="N38" s="24" t="inlineStr"/>
    </row>
    <row r="39" ht="46" customHeight="1">
      <c r="A39" s="23" t="inlineStr">
        <is>
          <t>ADD-003</t>
        </is>
      </c>
      <c r="B39" s="23" t="inlineStr">
        <is>
          <t>Last Name</t>
        </is>
      </c>
      <c r="C39" s="23" t="inlineStr">
        <is>
          <t>Enter valid last name</t>
        </is>
      </c>
      <c r="D39" s="23" t="inlineStr"/>
      <c r="E39" s="23" t="inlineStr">
        <is>
          <t>Type a valid last name</t>
        </is>
      </c>
      <c r="F39" s="23" t="inlineStr"/>
      <c r="G39" s="23" t="inlineStr">
        <is>
          <t>Value is accepted</t>
        </is>
      </c>
      <c r="H39" s="23" t="inlineStr">
        <is>
          <t>Value is accepted</t>
        </is>
      </c>
      <c r="I39" s="23" t="inlineStr">
        <is>
          <t>Passed</t>
        </is>
      </c>
      <c r="J39" s="23" t="inlineStr">
        <is>
          <t>Medium</t>
        </is>
      </c>
      <c r="K39" s="23" t="inlineStr">
        <is>
          <t>Functional</t>
        </is>
      </c>
      <c r="L39" s="23" t="inlineStr">
        <is>
          <t>QA Team</t>
        </is>
      </c>
      <c r="M39" s="23" t="inlineStr"/>
      <c r="N39" s="23" t="inlineStr"/>
    </row>
    <row r="40" ht="46" customHeight="1">
      <c r="A40" s="24" t="inlineStr">
        <is>
          <t>ADD-004</t>
        </is>
      </c>
      <c r="B40" s="24" t="inlineStr">
        <is>
          <t>Email</t>
        </is>
      </c>
      <c r="C40" s="24" t="inlineStr">
        <is>
          <t>Enter valid email</t>
        </is>
      </c>
      <c r="D40" s="24" t="inlineStr"/>
      <c r="E40" s="24" t="inlineStr">
        <is>
          <t>Type a valid email</t>
        </is>
      </c>
      <c r="F40" s="24" t="inlineStr"/>
      <c r="G40" s="24" t="inlineStr">
        <is>
          <t>Email is accepted</t>
        </is>
      </c>
      <c r="H40" s="24" t="inlineStr">
        <is>
          <t>Email is accepted</t>
        </is>
      </c>
      <c r="I40" s="24" t="inlineStr">
        <is>
          <t>Passed</t>
        </is>
      </c>
      <c r="J40" s="24" t="inlineStr">
        <is>
          <t>Medium</t>
        </is>
      </c>
      <c r="K40" s="24" t="inlineStr">
        <is>
          <t>Functional</t>
        </is>
      </c>
      <c r="L40" s="24" t="inlineStr">
        <is>
          <t>QA Team</t>
        </is>
      </c>
      <c r="M40" s="24" t="inlineStr"/>
      <c r="N40" s="24" t="inlineStr"/>
    </row>
    <row r="41" ht="46" customHeight="1">
      <c r="A41" s="23" t="inlineStr">
        <is>
          <t>ADD-005</t>
        </is>
      </c>
      <c r="B41" s="23" t="inlineStr">
        <is>
          <t>Password</t>
        </is>
      </c>
      <c r="C41" s="23" t="inlineStr">
        <is>
          <t>Enter password</t>
        </is>
      </c>
      <c r="D41" s="23" t="inlineStr"/>
      <c r="E41" s="23" t="inlineStr">
        <is>
          <t>Type password</t>
        </is>
      </c>
      <c r="F41" s="23" t="inlineStr"/>
      <c r="G41" s="23" t="inlineStr">
        <is>
          <t>Password is masked</t>
        </is>
      </c>
      <c r="H41" s="23" t="inlineStr">
        <is>
          <t>Password is masked</t>
        </is>
      </c>
      <c r="I41" s="23" t="inlineStr">
        <is>
          <t>Passed</t>
        </is>
      </c>
      <c r="J41" s="23" t="inlineStr">
        <is>
          <t>Medium</t>
        </is>
      </c>
      <c r="K41" s="23" t="inlineStr">
        <is>
          <t>Functional</t>
        </is>
      </c>
      <c r="L41" s="23" t="inlineStr">
        <is>
          <t>QA Team</t>
        </is>
      </c>
      <c r="M41" s="23" t="inlineStr"/>
      <c r="N41" s="23" t="inlineStr"/>
    </row>
    <row r="42" ht="46" customHeight="1">
      <c r="A42" s="24" t="inlineStr">
        <is>
          <t>ADD-006</t>
        </is>
      </c>
      <c r="B42" s="24" t="inlineStr">
        <is>
          <t>Address</t>
        </is>
      </c>
      <c r="C42" s="24" t="inlineStr">
        <is>
          <t>Enter address</t>
        </is>
      </c>
      <c r="D42" s="24" t="inlineStr"/>
      <c r="E42" s="24" t="inlineStr">
        <is>
          <t>Type address</t>
        </is>
      </c>
      <c r="F42" s="24" t="inlineStr"/>
      <c r="G42" s="24" t="inlineStr">
        <is>
          <t>Address is accepted</t>
        </is>
      </c>
      <c r="H42" s="24" t="inlineStr">
        <is>
          <t>Address is accepted</t>
        </is>
      </c>
      <c r="I42" s="24" t="inlineStr">
        <is>
          <t>Passed</t>
        </is>
      </c>
      <c r="J42" s="24" t="inlineStr">
        <is>
          <t>Medium</t>
        </is>
      </c>
      <c r="K42" s="24" t="inlineStr">
        <is>
          <t>Functional</t>
        </is>
      </c>
      <c r="L42" s="24" t="inlineStr">
        <is>
          <t>QA Team</t>
        </is>
      </c>
      <c r="M42" s="24" t="inlineStr"/>
      <c r="N42" s="24" t="inlineStr"/>
    </row>
    <row r="43" ht="46" customHeight="1">
      <c r="A43" s="23" t="inlineStr">
        <is>
          <t>ADD-007</t>
        </is>
      </c>
      <c r="B43" s="23" t="inlineStr">
        <is>
          <t>Birth Date</t>
        </is>
      </c>
      <c r="C43" s="23" t="inlineStr">
        <is>
          <t>Select birth date</t>
        </is>
      </c>
      <c r="D43" s="23" t="inlineStr"/>
      <c r="E43" s="23" t="inlineStr">
        <is>
          <t>Choose a date</t>
        </is>
      </c>
      <c r="F43" s="23" t="inlineStr"/>
      <c r="G43" s="23" t="inlineStr">
        <is>
          <t>Date appears correctly</t>
        </is>
      </c>
      <c r="H43" s="23" t="inlineStr">
        <is>
          <t>Date appears correctly</t>
        </is>
      </c>
      <c r="I43" s="23" t="inlineStr">
        <is>
          <t>Passed</t>
        </is>
      </c>
      <c r="J43" s="23" t="inlineStr">
        <is>
          <t>Medium</t>
        </is>
      </c>
      <c r="K43" s="23" t="inlineStr">
        <is>
          <t>Functional</t>
        </is>
      </c>
      <c r="L43" s="23" t="inlineStr">
        <is>
          <t>QA Team</t>
        </is>
      </c>
      <c r="M43" s="23" t="inlineStr"/>
      <c r="N43" s="23" t="inlineStr"/>
    </row>
    <row r="44" ht="46" customHeight="1">
      <c r="A44" s="24" t="inlineStr">
        <is>
          <t>ADD-008</t>
        </is>
      </c>
      <c r="B44" s="24" t="inlineStr">
        <is>
          <t>Nationality</t>
        </is>
      </c>
      <c r="C44" s="24" t="inlineStr">
        <is>
          <t>Enter nationality</t>
        </is>
      </c>
      <c r="D44" s="24" t="inlineStr"/>
      <c r="E44" s="24" t="inlineStr">
        <is>
          <t>Type nationality</t>
        </is>
      </c>
      <c r="F44" s="24" t="inlineStr"/>
      <c r="G44" s="24" t="inlineStr">
        <is>
          <t>Value is accepted</t>
        </is>
      </c>
      <c r="H44" s="24" t="inlineStr">
        <is>
          <t>Value is accepted</t>
        </is>
      </c>
      <c r="I44" s="24" t="inlineStr">
        <is>
          <t>Passed</t>
        </is>
      </c>
      <c r="J44" s="24" t="inlineStr">
        <is>
          <t>Medium</t>
        </is>
      </c>
      <c r="K44" s="24" t="inlineStr">
        <is>
          <t>Functional</t>
        </is>
      </c>
      <c r="L44" s="24" t="inlineStr">
        <is>
          <t>QA Team</t>
        </is>
      </c>
      <c r="M44" s="24" t="inlineStr"/>
      <c r="N44" s="24" t="inlineStr"/>
    </row>
    <row r="45" ht="46" customHeight="1">
      <c r="A45" s="23" t="inlineStr">
        <is>
          <t>ADD-009</t>
        </is>
      </c>
      <c r="B45" s="23" t="inlineStr">
        <is>
          <t>National Number</t>
        </is>
      </c>
      <c r="C45" s="23" t="inlineStr">
        <is>
          <t>Enter national number</t>
        </is>
      </c>
      <c r="D45" s="23" t="inlineStr"/>
      <c r="E45" s="23" t="inlineStr">
        <is>
          <t>Type national number</t>
        </is>
      </c>
      <c r="F45" s="23" t="inlineStr"/>
      <c r="G45" s="23" t="inlineStr">
        <is>
          <t>Valid number is accepted</t>
        </is>
      </c>
      <c r="H45" s="23" t="inlineStr">
        <is>
          <t>Valid number is accepted</t>
        </is>
      </c>
      <c r="I45" s="23" t="inlineStr">
        <is>
          <t>Passed</t>
        </is>
      </c>
      <c r="J45" s="23" t="inlineStr">
        <is>
          <t>Medium</t>
        </is>
      </c>
      <c r="K45" s="23" t="inlineStr">
        <is>
          <t>Functional</t>
        </is>
      </c>
      <c r="L45" s="23" t="inlineStr">
        <is>
          <t>QA Team</t>
        </is>
      </c>
      <c r="M45" s="23" t="inlineStr"/>
      <c r="N45" s="23" t="inlineStr"/>
    </row>
    <row r="46" ht="46" customHeight="1">
      <c r="A46" s="24" t="inlineStr">
        <is>
          <t>ADD-010</t>
        </is>
      </c>
      <c r="B46" s="24" t="inlineStr">
        <is>
          <t>Religion</t>
        </is>
      </c>
      <c r="C46" s="24" t="inlineStr">
        <is>
          <t>Select religion</t>
        </is>
      </c>
      <c r="D46" s="24" t="inlineStr"/>
      <c r="E46" s="24" t="inlineStr">
        <is>
          <t>Choose from dropdown</t>
        </is>
      </c>
      <c r="F46" s="24" t="inlineStr"/>
      <c r="G46" s="24" t="inlineStr">
        <is>
          <t>Religion is selected</t>
        </is>
      </c>
      <c r="H46" s="24" t="inlineStr">
        <is>
          <t>Religion is selected</t>
        </is>
      </c>
      <c r="I46" s="24" t="inlineStr">
        <is>
          <t>Passed</t>
        </is>
      </c>
      <c r="J46" s="24" t="inlineStr">
        <is>
          <t>Medium</t>
        </is>
      </c>
      <c r="K46" s="24" t="inlineStr">
        <is>
          <t>Functional</t>
        </is>
      </c>
      <c r="L46" s="24" t="inlineStr">
        <is>
          <t>QA Team</t>
        </is>
      </c>
      <c r="M46" s="24" t="inlineStr"/>
      <c r="N46" s="24" t="inlineStr"/>
    </row>
    <row r="47" ht="46" customHeight="1">
      <c r="A47" s="23" t="inlineStr">
        <is>
          <t>ADD-011</t>
        </is>
      </c>
      <c r="B47" s="23" t="inlineStr">
        <is>
          <t>Gender</t>
        </is>
      </c>
      <c r="C47" s="23" t="inlineStr">
        <is>
          <t>Select gender</t>
        </is>
      </c>
      <c r="D47" s="23" t="inlineStr"/>
      <c r="E47" s="23" t="inlineStr">
        <is>
          <t>Choose from dropdown</t>
        </is>
      </c>
      <c r="F47" s="23" t="inlineStr"/>
      <c r="G47" s="23" t="inlineStr">
        <is>
          <t>Gender is selected</t>
        </is>
      </c>
      <c r="H47" s="23" t="inlineStr">
        <is>
          <t>Gender is selected</t>
        </is>
      </c>
      <c r="I47" s="23" t="inlineStr">
        <is>
          <t>Passed</t>
        </is>
      </c>
      <c r="J47" s="23" t="inlineStr">
        <is>
          <t>Medium</t>
        </is>
      </c>
      <c r="K47" s="23" t="inlineStr">
        <is>
          <t>Functional</t>
        </is>
      </c>
      <c r="L47" s="23" t="inlineStr">
        <is>
          <t>QA Team</t>
        </is>
      </c>
      <c r="M47" s="23" t="inlineStr"/>
      <c r="N47" s="23" t="inlineStr"/>
    </row>
    <row r="48" ht="46" customHeight="1">
      <c r="A48" s="24" t="inlineStr">
        <is>
          <t>ADD-012</t>
        </is>
      </c>
      <c r="B48" s="24" t="inlineStr">
        <is>
          <t>Education</t>
        </is>
      </c>
      <c r="C48" s="24" t="inlineStr">
        <is>
          <t>Enter education</t>
        </is>
      </c>
      <c r="D48" s="24" t="inlineStr"/>
      <c r="E48" s="24" t="inlineStr">
        <is>
          <t>Fill education field</t>
        </is>
      </c>
      <c r="F48" s="24" t="inlineStr"/>
      <c r="G48" s="24" t="inlineStr">
        <is>
          <t>Value is accepted</t>
        </is>
      </c>
      <c r="H48" s="24" t="inlineStr">
        <is>
          <t>Value is accepted</t>
        </is>
      </c>
      <c r="I48" s="24" t="inlineStr">
        <is>
          <t>Passed</t>
        </is>
      </c>
      <c r="J48" s="24" t="inlineStr">
        <is>
          <t>Medium</t>
        </is>
      </c>
      <c r="K48" s="24" t="inlineStr">
        <is>
          <t>Functional</t>
        </is>
      </c>
      <c r="L48" s="24" t="inlineStr">
        <is>
          <t>QA Team</t>
        </is>
      </c>
      <c r="M48" s="24" t="inlineStr"/>
      <c r="N48" s="24" t="inlineStr"/>
    </row>
    <row r="49" ht="46" customHeight="1">
      <c r="A49" s="23" t="inlineStr">
        <is>
          <t>ADD-013</t>
        </is>
      </c>
      <c r="B49" s="23" t="inlineStr">
        <is>
          <t>Experience</t>
        </is>
      </c>
      <c r="C49" s="23" t="inlineStr">
        <is>
          <t>Enter experience</t>
        </is>
      </c>
      <c r="D49" s="23" t="inlineStr"/>
      <c r="E49" s="23" t="inlineStr">
        <is>
          <t>Fill experience field</t>
        </is>
      </c>
      <c r="F49" s="23" t="inlineStr"/>
      <c r="G49" s="23" t="inlineStr">
        <is>
          <t>Value is accepted</t>
        </is>
      </c>
      <c r="H49" s="23" t="inlineStr">
        <is>
          <t>Value is accepted</t>
        </is>
      </c>
      <c r="I49" s="23" t="inlineStr">
        <is>
          <t>Passed</t>
        </is>
      </c>
      <c r="J49" s="23" t="inlineStr">
        <is>
          <t>Medium</t>
        </is>
      </c>
      <c r="K49" s="23" t="inlineStr">
        <is>
          <t>Functional</t>
        </is>
      </c>
      <c r="L49" s="23" t="inlineStr">
        <is>
          <t>QA Team</t>
        </is>
      </c>
      <c r="M49" s="23" t="inlineStr"/>
      <c r="N49" s="23" t="inlineStr"/>
    </row>
    <row r="50" ht="46" customHeight="1">
      <c r="A50" s="24" t="inlineStr">
        <is>
          <t>ADD-014</t>
        </is>
      </c>
      <c r="B50" s="24" t="inlineStr">
        <is>
          <t>Employment History</t>
        </is>
      </c>
      <c r="C50" s="24" t="inlineStr">
        <is>
          <t>Enter employment history</t>
        </is>
      </c>
      <c r="D50" s="24" t="inlineStr"/>
      <c r="E50" s="24" t="inlineStr">
        <is>
          <t>Fill field</t>
        </is>
      </c>
      <c r="F50" s="24" t="inlineStr"/>
      <c r="G50" s="24" t="inlineStr">
        <is>
          <t>Value is accepted</t>
        </is>
      </c>
      <c r="H50" s="24" t="inlineStr">
        <is>
          <t>Value is accepted</t>
        </is>
      </c>
      <c r="I50" s="24" t="inlineStr">
        <is>
          <t>Passed</t>
        </is>
      </c>
      <c r="J50" s="24" t="inlineStr">
        <is>
          <t>Medium</t>
        </is>
      </c>
      <c r="K50" s="24" t="inlineStr">
        <is>
          <t>Functional</t>
        </is>
      </c>
      <c r="L50" s="24" t="inlineStr">
        <is>
          <t>QA Team</t>
        </is>
      </c>
      <c r="M50" s="24" t="inlineStr"/>
      <c r="N50" s="24" t="inlineStr"/>
    </row>
    <row r="51" ht="46" customHeight="1">
      <c r="A51" s="23" t="inlineStr">
        <is>
          <t>ADD-015</t>
        </is>
      </c>
      <c r="B51" s="23" t="inlineStr">
        <is>
          <t>Submit</t>
        </is>
      </c>
      <c r="C51" s="23" t="inlineStr">
        <is>
          <t>Submit valid form</t>
        </is>
      </c>
      <c r="D51" s="23" t="inlineStr"/>
      <c r="E51" s="23" t="inlineStr">
        <is>
          <t>Fill required fields and click Add Engineer</t>
        </is>
      </c>
      <c r="F51" s="23" t="inlineStr"/>
      <c r="G51" s="23" t="inlineStr">
        <is>
          <t>Engineer is added successfully</t>
        </is>
      </c>
      <c r="H51" s="23" t="inlineStr">
        <is>
          <t>Engineer is added successfully</t>
        </is>
      </c>
      <c r="I51" s="23" t="inlineStr">
        <is>
          <t>Passed</t>
        </is>
      </c>
      <c r="J51" s="23" t="inlineStr">
        <is>
          <t>Medium</t>
        </is>
      </c>
      <c r="K51" s="23" t="inlineStr">
        <is>
          <t>Functional</t>
        </is>
      </c>
      <c r="L51" s="23" t="inlineStr">
        <is>
          <t>QA Team</t>
        </is>
      </c>
      <c r="M51" s="23" t="inlineStr"/>
      <c r="N51" s="23" t="inlineStr"/>
    </row>
    <row r="52" ht="46" customHeight="1">
      <c r="A52" s="24" t="inlineStr">
        <is>
          <t>ADD-016</t>
        </is>
      </c>
      <c r="B52" s="24" t="inlineStr">
        <is>
          <t>Validation</t>
        </is>
      </c>
      <c r="C52" s="24" t="inlineStr">
        <is>
          <t>Submit empty form</t>
        </is>
      </c>
      <c r="D52" s="24" t="inlineStr"/>
      <c r="E52" s="24" t="inlineStr">
        <is>
          <t>Click Add Engineer without filling data</t>
        </is>
      </c>
      <c r="F52" s="24" t="inlineStr"/>
      <c r="G52" s="24" t="inlineStr">
        <is>
          <t>Validation messages appear</t>
        </is>
      </c>
      <c r="H52" s="24" t="inlineStr">
        <is>
          <t>Validation messages appear</t>
        </is>
      </c>
      <c r="I52" s="24" t="inlineStr">
        <is>
          <t>Passed</t>
        </is>
      </c>
      <c r="J52" s="24" t="inlineStr">
        <is>
          <t>Medium</t>
        </is>
      </c>
      <c r="K52" s="24" t="inlineStr">
        <is>
          <t>Functional</t>
        </is>
      </c>
      <c r="L52" s="24" t="inlineStr">
        <is>
          <t>QA Team</t>
        </is>
      </c>
      <c r="M52" s="24" t="inlineStr"/>
      <c r="N52" s="24" t="inlineStr"/>
    </row>
    <row r="53" ht="46" customHeight="1">
      <c r="A53" s="23" t="inlineStr">
        <is>
          <t>ADD-017</t>
        </is>
      </c>
      <c r="B53" s="23" t="inlineStr">
        <is>
          <t>Responsive</t>
        </is>
      </c>
      <c r="C53" s="23" t="inlineStr">
        <is>
          <t>Verify responsive design</t>
        </is>
      </c>
      <c r="D53" s="23" t="inlineStr"/>
      <c r="E53" s="23" t="inlineStr">
        <is>
          <t>Open on different screens</t>
        </is>
      </c>
      <c r="F53" s="23" t="inlineStr"/>
      <c r="G53" s="23" t="inlineStr">
        <is>
          <t>Layout works correctly</t>
        </is>
      </c>
      <c r="H53" s="23" t="inlineStr">
        <is>
          <t>Layout works correctly</t>
        </is>
      </c>
      <c r="I53" s="23" t="inlineStr">
        <is>
          <t>Passed</t>
        </is>
      </c>
      <c r="J53" s="23" t="inlineStr">
        <is>
          <t>Medium</t>
        </is>
      </c>
      <c r="K53" s="23" t="inlineStr">
        <is>
          <t>Functional</t>
        </is>
      </c>
      <c r="L53" s="23" t="inlineStr">
        <is>
          <t>QA Team</t>
        </is>
      </c>
      <c r="M53" s="23" t="inlineStr"/>
      <c r="N53" s="23" t="inlineStr"/>
    </row>
    <row r="54" ht="46" customHeight="1">
      <c r="A54" s="24" t="inlineStr">
        <is>
          <t>ADD-018</t>
        </is>
      </c>
      <c r="B54" s="24" t="inlineStr">
        <is>
          <t>Add Engineer</t>
        </is>
      </c>
      <c r="C54" s="24" t="inlineStr">
        <is>
          <t>Route smoke test</t>
        </is>
      </c>
      <c r="D54" s="24" t="inlineStr"/>
      <c r="E54" s="24" t="inlineStr">
        <is>
          <t>The Angular route resolves without a 404.</t>
        </is>
      </c>
      <c r="F54" s="24" t="inlineStr"/>
      <c r="G54" s="24" t="inlineStr">
        <is>
          <t>Development server running</t>
        </is>
      </c>
      <c r="H54" s="24" t="inlineStr">
        <is>
          <t>Open the implemented route on localhost:4200</t>
        </is>
      </c>
      <c r="I54" s="24" t="inlineStr">
        <is>
          <t>Not Run</t>
        </is>
      </c>
      <c r="J54" s="24" t="inlineStr">
        <is>
          <t>The Angular route resolves without a 404.</t>
        </is>
      </c>
      <c r="K54" s="24" t="inlineStr">
        <is>
          <t>Functional</t>
        </is>
      </c>
      <c r="L54" s="24" t="inlineStr">
        <is>
          <t>Not executed: requires isolated test data, credentials, or controlled API failure.</t>
        </is>
      </c>
      <c r="M54" s="24" t="inlineStr">
        <is>
          <t>Not Run</t>
        </is>
      </c>
      <c r="N54" s="24" t="inlineStr">
        <is>
          <t>Medium</t>
        </is>
      </c>
    </row>
    <row r="55" ht="46" customHeight="1">
      <c r="A55" s="23" t="inlineStr">
        <is>
          <t>ADD-019</t>
        </is>
      </c>
      <c r="B55" s="23" t="inlineStr">
        <is>
          <t>Add Engineer</t>
        </is>
      </c>
      <c r="C55" s="23" t="inlineStr">
        <is>
          <t>Read-only API availability</t>
        </is>
      </c>
      <c r="D55" s="23" t="inlineStr"/>
      <c r="E55" s="23" t="inlineStr">
        <is>
          <t>Read-only data requests complete or a user-visible error is shown.</t>
        </is>
      </c>
      <c r="F55" s="23" t="inlineStr"/>
      <c r="G55" s="23" t="inlineStr">
        <is>
          <t>Local API at localhost:8080</t>
        </is>
      </c>
      <c r="H55" s="23" t="inlineStr">
        <is>
          <t>Load page with the local API running</t>
        </is>
      </c>
      <c r="I55" s="23" t="inlineStr">
        <is>
          <t>Not Run</t>
        </is>
      </c>
      <c r="J55" s="23" t="inlineStr">
        <is>
          <t>Read-only data requests complete or a user-visible error is shown.</t>
        </is>
      </c>
      <c r="K55" s="23" t="inlineStr">
        <is>
          <t>Functional</t>
        </is>
      </c>
      <c r="L55" s="23" t="inlineStr">
        <is>
          <t>Not executed: requires isolated test data, credentials, or controlled API failure.</t>
        </is>
      </c>
      <c r="M55" s="23" t="inlineStr">
        <is>
          <t>Not Run</t>
        </is>
      </c>
      <c r="N55" s="23" t="inlineStr">
        <is>
          <t>Medium</t>
        </is>
      </c>
    </row>
    <row r="56" ht="46" customHeight="1">
      <c r="A56" s="24" t="inlineStr">
        <is>
          <t>ADD-020</t>
        </is>
      </c>
      <c r="B56" s="24" t="inlineStr">
        <is>
          <t>Add Engineer</t>
        </is>
      </c>
      <c r="C56" s="24" t="inlineStr">
        <is>
          <t>Data-changing regression</t>
        </is>
      </c>
      <c r="D56" s="24" t="inlineStr"/>
      <c r="E56" s="24" t="inlineStr">
        <is>
          <t>Only the test record is changed and can be cleaned up.</t>
        </is>
      </c>
      <c r="F56" s="24" t="inlineStr"/>
      <c r="G56" s="24" t="inlineStr">
        <is>
          <t>Dedicated test database and account</t>
        </is>
      </c>
      <c r="H56" s="24" t="inlineStr">
        <is>
          <t>Create, edit, or delete a record using an isolated test account</t>
        </is>
      </c>
      <c r="I56" s="24" t="inlineStr">
        <is>
          <t>Not Run</t>
        </is>
      </c>
      <c r="J56" s="24" t="inlineStr">
        <is>
          <t>Only the test record is changed and can be cleaned up.</t>
        </is>
      </c>
      <c r="K56" s="24" t="inlineStr">
        <is>
          <t>Functional</t>
        </is>
      </c>
      <c r="L56" s="24" t="inlineStr">
        <is>
          <t>Not executed: requires isolated test data, credentials, or controlled API failure.</t>
        </is>
      </c>
      <c r="M56" s="24" t="inlineStr">
        <is>
          <t>Not Run</t>
        </is>
      </c>
      <c r="N56" s="24" t="inlineStr">
        <is>
          <t>Medium</t>
        </is>
      </c>
    </row>
    <row r="57" ht="46" customHeight="1">
      <c r="A57" s="23" t="inlineStr">
        <is>
          <t>CRE-001</t>
        </is>
      </c>
      <c r="B57" s="23" t="inlineStr">
        <is>
          <t>Page Load</t>
        </is>
      </c>
      <c r="C57" s="23" t="inlineStr">
        <is>
          <t>Verify page opens</t>
        </is>
      </c>
      <c r="D57" s="23" t="inlineStr"/>
      <c r="E57" s="23" t="inlineStr">
        <is>
          <t>Open Create Engineer Report page</t>
        </is>
      </c>
      <c r="F57" s="23" t="inlineStr"/>
      <c r="G57" s="23" t="inlineStr">
        <is>
          <t>Page opens successfully</t>
        </is>
      </c>
      <c r="H57" s="23" t="inlineStr">
        <is>
          <t>Page opens successfully</t>
        </is>
      </c>
      <c r="I57" s="23" t="inlineStr">
        <is>
          <t>Passed</t>
        </is>
      </c>
      <c r="J57" s="23" t="inlineStr">
        <is>
          <t>Medium</t>
        </is>
      </c>
      <c r="K57" s="23" t="inlineStr">
        <is>
          <t>Functional</t>
        </is>
      </c>
      <c r="L57" s="23" t="inlineStr">
        <is>
          <t>QA Team</t>
        </is>
      </c>
      <c r="M57" s="23" t="inlineStr"/>
      <c r="N57" s="23" t="inlineStr"/>
    </row>
    <row r="58" ht="46" customHeight="1">
      <c r="A58" s="24" t="inlineStr">
        <is>
          <t>CRE-002</t>
        </is>
      </c>
      <c r="B58" s="24" t="inlineStr">
        <is>
          <t>Back Button</t>
        </is>
      </c>
      <c r="C58" s="24" t="inlineStr">
        <is>
          <t>Verify back navigation</t>
        </is>
      </c>
      <c r="D58" s="24" t="inlineStr"/>
      <c r="E58" s="24" t="inlineStr">
        <is>
          <t>Click Back button</t>
        </is>
      </c>
      <c r="F58" s="24" t="inlineStr"/>
      <c r="G58" s="24" t="inlineStr">
        <is>
          <t>User returns to previous page</t>
        </is>
      </c>
      <c r="H58" s="24" t="inlineStr">
        <is>
          <t>User returns to previous page</t>
        </is>
      </c>
      <c r="I58" s="24" t="inlineStr">
        <is>
          <t>Passed</t>
        </is>
      </c>
      <c r="J58" s="24" t="inlineStr">
        <is>
          <t>Medium</t>
        </is>
      </c>
      <c r="K58" s="24" t="inlineStr">
        <is>
          <t>Functional</t>
        </is>
      </c>
      <c r="L58" s="24" t="inlineStr">
        <is>
          <t>QA Team</t>
        </is>
      </c>
      <c r="M58" s="24" t="inlineStr"/>
      <c r="N58" s="24" t="inlineStr"/>
    </row>
    <row r="59" ht="46" customHeight="1">
      <c r="A59" s="23" t="inlineStr">
        <is>
          <t>CRE-003</t>
        </is>
      </c>
      <c r="B59" s="23" t="inlineStr">
        <is>
          <t>Engineer</t>
        </is>
      </c>
      <c r="C59" s="23" t="inlineStr">
        <is>
          <t>Select engineer</t>
        </is>
      </c>
      <c r="D59" s="23" t="inlineStr"/>
      <c r="E59" s="23" t="inlineStr">
        <is>
          <t>Choose engineer from dropdown</t>
        </is>
      </c>
      <c r="F59" s="23" t="inlineStr"/>
      <c r="G59" s="23" t="inlineStr">
        <is>
          <t>Engineer is selected</t>
        </is>
      </c>
      <c r="H59" s="23" t="inlineStr">
        <is>
          <t>Engineer is selected</t>
        </is>
      </c>
      <c r="I59" s="23" t="inlineStr">
        <is>
          <t>Passed</t>
        </is>
      </c>
      <c r="J59" s="23" t="inlineStr">
        <is>
          <t>Medium</t>
        </is>
      </c>
      <c r="K59" s="23" t="inlineStr">
        <is>
          <t>Functional</t>
        </is>
      </c>
      <c r="L59" s="23" t="inlineStr">
        <is>
          <t>QA Team</t>
        </is>
      </c>
      <c r="M59" s="23" t="inlineStr"/>
      <c r="N59" s="23" t="inlineStr"/>
    </row>
    <row r="60" ht="46" customHeight="1">
      <c r="A60" s="24" t="inlineStr">
        <is>
          <t>CRE-004</t>
        </is>
      </c>
      <c r="B60" s="24" t="inlineStr">
        <is>
          <t>Engineer</t>
        </is>
      </c>
      <c r="C60" s="24" t="inlineStr">
        <is>
          <t>Verify engineer dropdown values</t>
        </is>
      </c>
      <c r="D60" s="24" t="inlineStr"/>
      <c r="E60" s="24" t="inlineStr">
        <is>
          <t>Open dropdown list</t>
        </is>
      </c>
      <c r="F60" s="24" t="inlineStr"/>
      <c r="G60" s="24" t="inlineStr">
        <is>
          <t>All engineers are displayed</t>
        </is>
      </c>
      <c r="H60" s="24" t="inlineStr">
        <is>
          <t>All engineers are displayed</t>
        </is>
      </c>
      <c r="I60" s="24" t="inlineStr">
        <is>
          <t>Passed</t>
        </is>
      </c>
      <c r="J60" s="24" t="inlineStr">
        <is>
          <t>Medium</t>
        </is>
      </c>
      <c r="K60" s="24" t="inlineStr">
        <is>
          <t>Functional</t>
        </is>
      </c>
      <c r="L60" s="24" t="inlineStr">
        <is>
          <t>QA Team</t>
        </is>
      </c>
      <c r="M60" s="24" t="inlineStr"/>
      <c r="N60" s="24" t="inlineStr"/>
    </row>
    <row r="61" ht="46" customHeight="1">
      <c r="A61" s="23" t="inlineStr">
        <is>
          <t>CRE-005</t>
        </is>
      </c>
      <c r="B61" s="23" t="inlineStr">
        <is>
          <t>Date</t>
        </is>
      </c>
      <c r="C61" s="23" t="inlineStr">
        <is>
          <t>Choose report date</t>
        </is>
      </c>
      <c r="D61" s="23" t="inlineStr"/>
      <c r="E61" s="23" t="inlineStr">
        <is>
          <t>Select a valid date</t>
        </is>
      </c>
      <c r="F61" s="23" t="inlineStr"/>
      <c r="G61" s="23" t="inlineStr">
        <is>
          <t>Date is shown correctly</t>
        </is>
      </c>
      <c r="H61" s="23" t="inlineStr">
        <is>
          <t>Date is shown correctly</t>
        </is>
      </c>
      <c r="I61" s="23" t="inlineStr">
        <is>
          <t>Passed</t>
        </is>
      </c>
      <c r="J61" s="23" t="inlineStr">
        <is>
          <t>Medium</t>
        </is>
      </c>
      <c r="K61" s="23" t="inlineStr">
        <is>
          <t>Functional</t>
        </is>
      </c>
      <c r="L61" s="23" t="inlineStr">
        <is>
          <t>QA Team</t>
        </is>
      </c>
      <c r="M61" s="23" t="inlineStr"/>
      <c r="N61" s="23" t="inlineStr"/>
    </row>
    <row r="62" ht="46" customHeight="1">
      <c r="A62" s="24" t="inlineStr">
        <is>
          <t>CRE-006</t>
        </is>
      </c>
      <c r="B62" s="24" t="inlineStr">
        <is>
          <t>Rating</t>
        </is>
      </c>
      <c r="C62" s="24" t="inlineStr">
        <is>
          <t>Enter valid rating</t>
        </is>
      </c>
      <c r="D62" s="24" t="inlineStr"/>
      <c r="E62" s="24" t="inlineStr">
        <is>
          <t>Enter value from 0 to 5</t>
        </is>
      </c>
      <c r="F62" s="24" t="inlineStr"/>
      <c r="G62" s="24" t="inlineStr">
        <is>
          <t>Rating is accepted</t>
        </is>
      </c>
      <c r="H62" s="24" t="inlineStr">
        <is>
          <t>Rating is accepted</t>
        </is>
      </c>
      <c r="I62" s="24" t="inlineStr">
        <is>
          <t>Passed</t>
        </is>
      </c>
      <c r="J62" s="24" t="inlineStr">
        <is>
          <t>Medium</t>
        </is>
      </c>
      <c r="K62" s="24" t="inlineStr">
        <is>
          <t>Functional</t>
        </is>
      </c>
      <c r="L62" s="24" t="inlineStr">
        <is>
          <t>QA Team</t>
        </is>
      </c>
      <c r="M62" s="24" t="inlineStr"/>
      <c r="N62" s="24" t="inlineStr"/>
    </row>
    <row r="63" ht="46" customHeight="1">
      <c r="A63" s="23" t="inlineStr">
        <is>
          <t>CRE-007</t>
        </is>
      </c>
      <c r="B63" s="23" t="inlineStr">
        <is>
          <t>Rating</t>
        </is>
      </c>
      <c r="C63" s="23" t="inlineStr">
        <is>
          <t>Enter invalid rating</t>
        </is>
      </c>
      <c r="D63" s="23" t="inlineStr"/>
      <c r="E63" s="23" t="inlineStr">
        <is>
          <t>Enter value outside 0-5</t>
        </is>
      </c>
      <c r="F63" s="23" t="inlineStr"/>
      <c r="G63" s="23" t="inlineStr">
        <is>
          <t>Validation message appears</t>
        </is>
      </c>
      <c r="H63" s="23" t="inlineStr">
        <is>
          <t>can't enter less than 0 and more than 5</t>
        </is>
      </c>
      <c r="I63" s="23" t="inlineStr">
        <is>
          <t>Passed</t>
        </is>
      </c>
      <c r="J63" s="23" t="inlineStr">
        <is>
          <t>Medium</t>
        </is>
      </c>
      <c r="K63" s="23" t="inlineStr">
        <is>
          <t>Functional</t>
        </is>
      </c>
      <c r="L63" s="23" t="inlineStr">
        <is>
          <t>QA Team</t>
        </is>
      </c>
      <c r="M63" s="23" t="inlineStr"/>
      <c r="N63" s="23" t="inlineStr"/>
    </row>
    <row r="64" ht="46" customHeight="1">
      <c r="A64" s="24" t="inlineStr">
        <is>
          <t>CRE-008</t>
        </is>
      </c>
      <c r="B64" s="24" t="inlineStr">
        <is>
          <t>Feedback</t>
        </is>
      </c>
      <c r="C64" s="24" t="inlineStr">
        <is>
          <t>Enter feedback text</t>
        </is>
      </c>
      <c r="D64" s="24" t="inlineStr"/>
      <c r="E64" s="24" t="inlineStr">
        <is>
          <t>Fill feedback field</t>
        </is>
      </c>
      <c r="F64" s="24" t="inlineStr"/>
      <c r="G64" s="24" t="inlineStr">
        <is>
          <t>Feedback is saved</t>
        </is>
      </c>
      <c r="H64" s="24" t="inlineStr">
        <is>
          <t>Feedback is saved</t>
        </is>
      </c>
      <c r="I64" s="24" t="inlineStr">
        <is>
          <t>Passed</t>
        </is>
      </c>
      <c r="J64" s="24" t="inlineStr">
        <is>
          <t>Medium</t>
        </is>
      </c>
      <c r="K64" s="24" t="inlineStr">
        <is>
          <t>Functional</t>
        </is>
      </c>
      <c r="L64" s="24" t="inlineStr">
        <is>
          <t>QA Team</t>
        </is>
      </c>
      <c r="M64" s="24" t="inlineStr"/>
      <c r="N64" s="24" t="inlineStr"/>
    </row>
    <row r="65" ht="46" customHeight="1">
      <c r="A65" s="23" t="inlineStr">
        <is>
          <t>CRE-009</t>
        </is>
      </c>
      <c r="B65" s="23" t="inlineStr">
        <is>
          <t>Notes</t>
        </is>
      </c>
      <c r="C65" s="23" t="inlineStr">
        <is>
          <t>Enter notes</t>
        </is>
      </c>
      <c r="D65" s="23" t="inlineStr"/>
      <c r="E65" s="23" t="inlineStr">
        <is>
          <t>Fill notes field</t>
        </is>
      </c>
      <c r="F65" s="23" t="inlineStr"/>
      <c r="G65" s="23" t="inlineStr">
        <is>
          <t>Notes are saved</t>
        </is>
      </c>
      <c r="H65" s="23" t="inlineStr">
        <is>
          <t>Notes are saved</t>
        </is>
      </c>
      <c r="I65" s="23" t="inlineStr">
        <is>
          <t>Passed</t>
        </is>
      </c>
      <c r="J65" s="23" t="inlineStr">
        <is>
          <t>Medium</t>
        </is>
      </c>
      <c r="K65" s="23" t="inlineStr">
        <is>
          <t>Functional</t>
        </is>
      </c>
      <c r="L65" s="23" t="inlineStr">
        <is>
          <t>QA Team</t>
        </is>
      </c>
      <c r="M65" s="23" t="inlineStr"/>
      <c r="N65" s="23" t="inlineStr"/>
    </row>
    <row r="66" ht="46" customHeight="1">
      <c r="A66" s="24" t="inlineStr">
        <is>
          <t>CRE-010</t>
        </is>
      </c>
      <c r="B66" s="24" t="inlineStr">
        <is>
          <t>Validation</t>
        </is>
      </c>
      <c r="C66" s="24" t="inlineStr">
        <is>
          <t>Submit empty form</t>
        </is>
      </c>
      <c r="D66" s="24" t="inlineStr"/>
      <c r="E66" s="24" t="inlineStr">
        <is>
          <t>Click Save Report without data</t>
        </is>
      </c>
      <c r="F66" s="24" t="inlineStr"/>
      <c r="G66" s="24" t="inlineStr">
        <is>
          <t>Validation messages appear</t>
        </is>
      </c>
      <c r="H66" s="24" t="inlineStr">
        <is>
          <t>doesn't save</t>
        </is>
      </c>
      <c r="I66" s="24" t="inlineStr">
        <is>
          <t>Passed</t>
        </is>
      </c>
      <c r="J66" s="24" t="inlineStr">
        <is>
          <t>Medium</t>
        </is>
      </c>
      <c r="K66" s="24" t="inlineStr">
        <is>
          <t>Functional</t>
        </is>
      </c>
      <c r="L66" s="24" t="inlineStr">
        <is>
          <t>QA Team</t>
        </is>
      </c>
      <c r="M66" s="24" t="inlineStr"/>
      <c r="N66" s="24" t="inlineStr"/>
    </row>
    <row r="67" ht="46" customHeight="1">
      <c r="A67" s="23" t="inlineStr">
        <is>
          <t>CRE-011</t>
        </is>
      </c>
      <c r="B67" s="23" t="inlineStr">
        <is>
          <t>Save Report</t>
        </is>
      </c>
      <c r="C67" s="23" t="inlineStr">
        <is>
          <t>Save report with valid data</t>
        </is>
      </c>
      <c r="D67" s="23" t="inlineStr"/>
      <c r="E67" s="23" t="inlineStr">
        <is>
          <t>Fill all fields and click Save Report</t>
        </is>
      </c>
      <c r="F67" s="23" t="inlineStr"/>
      <c r="G67" s="23" t="inlineStr">
        <is>
          <t>Report is saved successfully</t>
        </is>
      </c>
      <c r="H67" s="23" t="inlineStr">
        <is>
          <t>Report is saved successfully</t>
        </is>
      </c>
      <c r="I67" s="23" t="inlineStr">
        <is>
          <t>Passed</t>
        </is>
      </c>
      <c r="J67" s="23" t="inlineStr">
        <is>
          <t>Medium</t>
        </is>
      </c>
      <c r="K67" s="23" t="inlineStr">
        <is>
          <t>Functional</t>
        </is>
      </c>
      <c r="L67" s="23" t="inlineStr">
        <is>
          <t>QA Team</t>
        </is>
      </c>
      <c r="M67" s="23" t="inlineStr"/>
      <c r="N67" s="23" t="inlineStr"/>
    </row>
    <row r="68" ht="46" customHeight="1">
      <c r="A68" s="24" t="inlineStr">
        <is>
          <t>CRE-012</t>
        </is>
      </c>
      <c r="B68" s="24" t="inlineStr">
        <is>
          <t>API/Database</t>
        </is>
      </c>
      <c r="C68" s="24" t="inlineStr">
        <is>
          <t>Verify saved data</t>
        </is>
      </c>
      <c r="D68" s="24" t="inlineStr"/>
      <c r="E68" s="24" t="inlineStr">
        <is>
          <t>Save report and check API/database</t>
        </is>
      </c>
      <c r="F68" s="24" t="inlineStr"/>
      <c r="G68" s="24" t="inlineStr">
        <is>
          <t>Saved data matches entered data</t>
        </is>
      </c>
      <c r="H68" s="24" t="inlineStr">
        <is>
          <t>Saved data matches entered data</t>
        </is>
      </c>
      <c r="I68" s="24" t="inlineStr">
        <is>
          <t>Passed</t>
        </is>
      </c>
      <c r="J68" s="24" t="inlineStr">
        <is>
          <t>Medium</t>
        </is>
      </c>
      <c r="K68" s="24" t="inlineStr">
        <is>
          <t>Functional</t>
        </is>
      </c>
      <c r="L68" s="24" t="inlineStr">
        <is>
          <t>QA Team</t>
        </is>
      </c>
      <c r="M68" s="24" t="inlineStr"/>
      <c r="N68" s="24" t="inlineStr"/>
    </row>
    <row r="69" ht="46" customHeight="1">
      <c r="A69" s="23" t="inlineStr">
        <is>
          <t>CRE-013</t>
        </is>
      </c>
      <c r="B69" s="23" t="inlineStr">
        <is>
          <t>Responsive</t>
        </is>
      </c>
      <c r="C69" s="23" t="inlineStr">
        <is>
          <t>Check responsive design</t>
        </is>
      </c>
      <c r="D69" s="23" t="inlineStr"/>
      <c r="E69" s="23" t="inlineStr">
        <is>
          <t>Open page on mobile and tablet</t>
        </is>
      </c>
      <c r="F69" s="23" t="inlineStr"/>
      <c r="G69" s="23" t="inlineStr">
        <is>
          <t>Layout works correctly</t>
        </is>
      </c>
      <c r="H69" s="23" t="inlineStr">
        <is>
          <t>Layout works correctly</t>
        </is>
      </c>
      <c r="I69" s="23" t="inlineStr">
        <is>
          <t>Passed</t>
        </is>
      </c>
      <c r="J69" s="23" t="inlineStr">
        <is>
          <t>Medium</t>
        </is>
      </c>
      <c r="K69" s="23" t="inlineStr">
        <is>
          <t>Functional</t>
        </is>
      </c>
      <c r="L69" s="23" t="inlineStr">
        <is>
          <t>QA Team</t>
        </is>
      </c>
      <c r="M69" s="23" t="inlineStr"/>
      <c r="N69" s="23" t="inlineStr"/>
    </row>
    <row r="70" ht="46" customHeight="1">
      <c r="A70" s="24" t="inlineStr">
        <is>
          <t>CRE-014</t>
        </is>
      </c>
      <c r="B70" s="24" t="inlineStr">
        <is>
          <t>Create Engineer Report</t>
        </is>
      </c>
      <c r="C70" s="24" t="inlineStr">
        <is>
          <t>Route smoke test</t>
        </is>
      </c>
      <c r="D70" s="24" t="inlineStr"/>
      <c r="E70" s="24" t="inlineStr">
        <is>
          <t>The Angular route resolves without a 404.</t>
        </is>
      </c>
      <c r="F70" s="24" t="inlineStr"/>
      <c r="G70" s="24" t="inlineStr">
        <is>
          <t>Development server running</t>
        </is>
      </c>
      <c r="H70" s="24" t="inlineStr">
        <is>
          <t>Open the implemented route on localhost:4200</t>
        </is>
      </c>
      <c r="I70" s="24" t="inlineStr">
        <is>
          <t>Not Run</t>
        </is>
      </c>
      <c r="J70" s="24" t="inlineStr">
        <is>
          <t>The Angular route resolves without a 404.</t>
        </is>
      </c>
      <c r="K70" s="24" t="inlineStr">
        <is>
          <t>Functional</t>
        </is>
      </c>
      <c r="L70" s="24" t="inlineStr">
        <is>
          <t>Not executed: requires isolated test data, credentials, or controlled API failure.</t>
        </is>
      </c>
      <c r="M70" s="24" t="inlineStr">
        <is>
          <t>Not Run</t>
        </is>
      </c>
      <c r="N70" s="24" t="inlineStr">
        <is>
          <t>Medium</t>
        </is>
      </c>
    </row>
    <row r="71" ht="46" customHeight="1">
      <c r="A71" s="23" t="inlineStr">
        <is>
          <t>CRE-015</t>
        </is>
      </c>
      <c r="B71" s="23" t="inlineStr">
        <is>
          <t>Create Engineer Report</t>
        </is>
      </c>
      <c r="C71" s="23" t="inlineStr">
        <is>
          <t>Read-only API availability</t>
        </is>
      </c>
      <c r="D71" s="23" t="inlineStr"/>
      <c r="E71" s="23" t="inlineStr">
        <is>
          <t>Read-only data requests complete or a user-visible error is shown.</t>
        </is>
      </c>
      <c r="F71" s="23" t="inlineStr"/>
      <c r="G71" s="23" t="inlineStr">
        <is>
          <t>Local API at localhost:8080</t>
        </is>
      </c>
      <c r="H71" s="23" t="inlineStr">
        <is>
          <t>Load page with the local API running</t>
        </is>
      </c>
      <c r="I71" s="23" t="inlineStr">
        <is>
          <t>Not Run</t>
        </is>
      </c>
      <c r="J71" s="23" t="inlineStr">
        <is>
          <t>Read-only data requests complete or a user-visible error is shown.</t>
        </is>
      </c>
      <c r="K71" s="23" t="inlineStr">
        <is>
          <t>Functional</t>
        </is>
      </c>
      <c r="L71" s="23" t="inlineStr">
        <is>
          <t>Not executed: requires isolated test data, credentials, or controlled API failure.</t>
        </is>
      </c>
      <c r="M71" s="23" t="inlineStr">
        <is>
          <t>Not Run</t>
        </is>
      </c>
      <c r="N71" s="23" t="inlineStr">
        <is>
          <t>Medium</t>
        </is>
      </c>
    </row>
    <row r="72" ht="46" customHeight="1">
      <c r="A72" s="24" t="inlineStr">
        <is>
          <t>CRE-016</t>
        </is>
      </c>
      <c r="B72" s="24" t="inlineStr">
        <is>
          <t>Create Engineer Report</t>
        </is>
      </c>
      <c r="C72" s="24" t="inlineStr">
        <is>
          <t>Data-changing regression</t>
        </is>
      </c>
      <c r="D72" s="24" t="inlineStr"/>
      <c r="E72" s="24" t="inlineStr">
        <is>
          <t>Only the test record is changed and can be cleaned up.</t>
        </is>
      </c>
      <c r="F72" s="24" t="inlineStr"/>
      <c r="G72" s="24" t="inlineStr">
        <is>
          <t>Dedicated test database and account</t>
        </is>
      </c>
      <c r="H72" s="24" t="inlineStr">
        <is>
          <t>Create, edit, or delete a record using an isolated test account</t>
        </is>
      </c>
      <c r="I72" s="24" t="inlineStr">
        <is>
          <t>Not Run</t>
        </is>
      </c>
      <c r="J72" s="24" t="inlineStr">
        <is>
          <t>Only the test record is changed and can be cleaned up.</t>
        </is>
      </c>
      <c r="K72" s="24" t="inlineStr">
        <is>
          <t>Functional</t>
        </is>
      </c>
      <c r="L72" s="24" t="inlineStr">
        <is>
          <t>Not executed: requires isolated test data, credentials, or controlled API failure.</t>
        </is>
      </c>
      <c r="M72" s="24" t="inlineStr">
        <is>
          <t>Not Run</t>
        </is>
      </c>
      <c r="N72" s="24" t="inlineStr">
        <is>
          <t>Medium</t>
        </is>
      </c>
    </row>
    <row r="73" ht="46" customHeight="1">
      <c r="A73" s="23" t="inlineStr">
        <is>
          <t>EDI-001</t>
        </is>
      </c>
      <c r="B73" s="23" t="inlineStr">
        <is>
          <t>Page Load</t>
        </is>
      </c>
      <c r="C73" s="23" t="inlineStr">
        <is>
          <t>Verify Edit Engineer page opens</t>
        </is>
      </c>
      <c r="D73" s="23" t="inlineStr"/>
      <c r="E73" s="23" t="inlineStr">
        <is>
          <t>Open Edit Engineer page</t>
        </is>
      </c>
      <c r="F73" s="23" t="inlineStr"/>
      <c r="G73" s="23" t="inlineStr">
        <is>
          <t>Page loads successfully with engineer data</t>
        </is>
      </c>
      <c r="H73" s="23" t="inlineStr">
        <is>
          <t>Page loads successfully with engineer data</t>
        </is>
      </c>
      <c r="I73" s="23" t="inlineStr">
        <is>
          <t>Passed</t>
        </is>
      </c>
      <c r="J73" s="23" t="inlineStr">
        <is>
          <t>Medium</t>
        </is>
      </c>
      <c r="K73" s="23" t="inlineStr">
        <is>
          <t>Functional</t>
        </is>
      </c>
      <c r="L73" s="23" t="inlineStr">
        <is>
          <t>QA Team</t>
        </is>
      </c>
      <c r="M73" s="23" t="inlineStr"/>
      <c r="N73" s="23" t="inlineStr"/>
    </row>
    <row r="74" ht="46" customHeight="1">
      <c r="A74" s="24" t="inlineStr">
        <is>
          <t>EDI-002</t>
        </is>
      </c>
      <c r="B74" s="24" t="inlineStr">
        <is>
          <t>Navigation</t>
        </is>
      </c>
      <c r="C74" s="24" t="inlineStr">
        <is>
          <t>Verify Back button</t>
        </is>
      </c>
      <c r="D74" s="24" t="inlineStr"/>
      <c r="E74" s="24" t="inlineStr">
        <is>
          <t>Click Back button</t>
        </is>
      </c>
      <c r="F74" s="24" t="inlineStr"/>
      <c r="G74" s="24" t="inlineStr">
        <is>
          <t>User returns to Engineers page</t>
        </is>
      </c>
      <c r="H74" s="24" t="inlineStr">
        <is>
          <t>User returns to Engineers page</t>
        </is>
      </c>
      <c r="I74" s="24" t="inlineStr">
        <is>
          <t>Passed</t>
        </is>
      </c>
      <c r="J74" s="24" t="inlineStr">
        <is>
          <t>Medium</t>
        </is>
      </c>
      <c r="K74" s="24" t="inlineStr">
        <is>
          <t>Functional</t>
        </is>
      </c>
      <c r="L74" s="24" t="inlineStr">
        <is>
          <t>QA Team</t>
        </is>
      </c>
      <c r="M74" s="24" t="inlineStr"/>
      <c r="N74" s="24" t="inlineStr"/>
    </row>
    <row r="75" ht="46" customHeight="1">
      <c r="A75" s="23" t="inlineStr">
        <is>
          <t>EDI-003</t>
        </is>
      </c>
      <c r="B75" s="23" t="inlineStr">
        <is>
          <t>First Name</t>
        </is>
      </c>
      <c r="C75" s="23" t="inlineStr">
        <is>
          <t>Edit first name</t>
        </is>
      </c>
      <c r="D75" s="23" t="inlineStr"/>
      <c r="E75" s="23" t="inlineStr">
        <is>
          <t>Change first name and save</t>
        </is>
      </c>
      <c r="F75" s="23" t="inlineStr"/>
      <c r="G75" s="23" t="inlineStr">
        <is>
          <t>Updated first name is saved</t>
        </is>
      </c>
      <c r="H75" s="23" t="inlineStr">
        <is>
          <t>Updated first name is saved</t>
        </is>
      </c>
      <c r="I75" s="23" t="inlineStr">
        <is>
          <t>Passed</t>
        </is>
      </c>
      <c r="J75" s="23" t="inlineStr">
        <is>
          <t>Medium</t>
        </is>
      </c>
      <c r="K75" s="23" t="inlineStr">
        <is>
          <t>Functional</t>
        </is>
      </c>
      <c r="L75" s="23" t="inlineStr">
        <is>
          <t>QA Team</t>
        </is>
      </c>
      <c r="M75" s="23" t="inlineStr"/>
      <c r="N75" s="23" t="inlineStr"/>
    </row>
    <row r="76" ht="46" customHeight="1">
      <c r="A76" s="24" t="inlineStr">
        <is>
          <t>EDI-004</t>
        </is>
      </c>
      <c r="B76" s="24" t="inlineStr">
        <is>
          <t>Last Name</t>
        </is>
      </c>
      <c r="C76" s="24" t="inlineStr">
        <is>
          <t>Edit last name</t>
        </is>
      </c>
      <c r="D76" s="24" t="inlineStr"/>
      <c r="E76" s="24" t="inlineStr">
        <is>
          <t>Change last name and save</t>
        </is>
      </c>
      <c r="F76" s="24" t="inlineStr"/>
      <c r="G76" s="24" t="inlineStr">
        <is>
          <t>Updated last name is saved</t>
        </is>
      </c>
      <c r="H76" s="24" t="inlineStr">
        <is>
          <t>Updated last name is saved</t>
        </is>
      </c>
      <c r="I76" s="24" t="inlineStr">
        <is>
          <t>Passed</t>
        </is>
      </c>
      <c r="J76" s="24" t="inlineStr">
        <is>
          <t>Medium</t>
        </is>
      </c>
      <c r="K76" s="24" t="inlineStr">
        <is>
          <t>Functional</t>
        </is>
      </c>
      <c r="L76" s="24" t="inlineStr">
        <is>
          <t>QA Team</t>
        </is>
      </c>
      <c r="M76" s="24" t="inlineStr"/>
      <c r="N76" s="24" t="inlineStr"/>
    </row>
    <row r="77" ht="46" customHeight="1">
      <c r="A77" s="23" t="inlineStr">
        <is>
          <t>EDI-005</t>
        </is>
      </c>
      <c r="B77" s="23" t="inlineStr">
        <is>
          <t>Email</t>
        </is>
      </c>
      <c r="C77" s="23" t="inlineStr">
        <is>
          <t>Edit email</t>
        </is>
      </c>
      <c r="D77" s="23" t="inlineStr"/>
      <c r="E77" s="23" t="inlineStr">
        <is>
          <t>Enter valid email and save</t>
        </is>
      </c>
      <c r="F77" s="23" t="inlineStr"/>
      <c r="G77" s="23" t="inlineStr">
        <is>
          <t>Updated email is saved</t>
        </is>
      </c>
      <c r="H77" s="23" t="inlineStr">
        <is>
          <t>Updated email is saved</t>
        </is>
      </c>
      <c r="I77" s="23" t="inlineStr">
        <is>
          <t>Passed</t>
        </is>
      </c>
      <c r="J77" s="23" t="inlineStr">
        <is>
          <t>Medium</t>
        </is>
      </c>
      <c r="K77" s="23" t="inlineStr">
        <is>
          <t>Functional</t>
        </is>
      </c>
      <c r="L77" s="23" t="inlineStr">
        <is>
          <t>QA Team</t>
        </is>
      </c>
      <c r="M77" s="23" t="inlineStr"/>
      <c r="N77" s="23" t="inlineStr"/>
    </row>
    <row r="78" ht="46" customHeight="1">
      <c r="A78" s="24" t="inlineStr">
        <is>
          <t>EDI-006</t>
        </is>
      </c>
      <c r="B78" s="24" t="inlineStr">
        <is>
          <t>Email Validation</t>
        </is>
      </c>
      <c r="C78" s="24" t="inlineStr">
        <is>
          <t>Enter invalid email</t>
        </is>
      </c>
      <c r="D78" s="24" t="inlineStr"/>
      <c r="E78" s="24" t="inlineStr">
        <is>
          <t>Type invalid email format</t>
        </is>
      </c>
      <c r="F78" s="24" t="inlineStr"/>
      <c r="G78" s="24" t="inlineStr">
        <is>
          <t>Validation message appears</t>
        </is>
      </c>
      <c r="H78" s="24" t="inlineStr">
        <is>
          <t>continue without error massage</t>
        </is>
      </c>
      <c r="I78" s="24" t="inlineStr">
        <is>
          <t>Failed</t>
        </is>
      </c>
      <c r="J78" s="24" t="inlineStr">
        <is>
          <t>Medium</t>
        </is>
      </c>
      <c r="K78" s="24" t="inlineStr">
        <is>
          <t>Functional</t>
        </is>
      </c>
      <c r="L78" s="24" t="inlineStr">
        <is>
          <t>QA Team</t>
        </is>
      </c>
      <c r="M78" s="24" t="inlineStr"/>
      <c r="N78" s="24" t="inlineStr"/>
    </row>
    <row r="79" ht="46" customHeight="1">
      <c r="A79" s="23" t="inlineStr">
        <is>
          <t>EDI-007</t>
        </is>
      </c>
      <c r="B79" s="23" t="inlineStr">
        <is>
          <t>Address</t>
        </is>
      </c>
      <c r="C79" s="23" t="inlineStr">
        <is>
          <t>Edit address</t>
        </is>
      </c>
      <c r="D79" s="23" t="inlineStr"/>
      <c r="E79" s="23" t="inlineStr">
        <is>
          <t>Update address field</t>
        </is>
      </c>
      <c r="F79" s="23" t="inlineStr"/>
      <c r="G79" s="23" t="inlineStr">
        <is>
          <t>Address is saved successfully</t>
        </is>
      </c>
      <c r="H79" s="23" t="inlineStr">
        <is>
          <t>Address is saved successfully</t>
        </is>
      </c>
      <c r="I79" s="23" t="inlineStr">
        <is>
          <t>Passed</t>
        </is>
      </c>
      <c r="J79" s="23" t="inlineStr">
        <is>
          <t>Medium</t>
        </is>
      </c>
      <c r="K79" s="23" t="inlineStr">
        <is>
          <t>Functional</t>
        </is>
      </c>
      <c r="L79" s="23" t="inlineStr">
        <is>
          <t>QA Team</t>
        </is>
      </c>
      <c r="M79" s="23" t="inlineStr"/>
      <c r="N79" s="23" t="inlineStr"/>
    </row>
    <row r="80" ht="46" customHeight="1">
      <c r="A80" s="24" t="inlineStr">
        <is>
          <t>EDI-008</t>
        </is>
      </c>
      <c r="B80" s="24" t="inlineStr">
        <is>
          <t>Education</t>
        </is>
      </c>
      <c r="C80" s="24" t="inlineStr">
        <is>
          <t>Edit education</t>
        </is>
      </c>
      <c r="D80" s="24" t="inlineStr"/>
      <c r="E80" s="24" t="inlineStr">
        <is>
          <t>Update education field</t>
        </is>
      </c>
      <c r="F80" s="24" t="inlineStr"/>
      <c r="G80" s="24" t="inlineStr">
        <is>
          <t>Education is saved</t>
        </is>
      </c>
      <c r="H80" s="24" t="inlineStr">
        <is>
          <t>Education is saved</t>
        </is>
      </c>
      <c r="I80" s="24" t="inlineStr">
        <is>
          <t>Passed</t>
        </is>
      </c>
      <c r="J80" s="24" t="inlineStr">
        <is>
          <t>Medium</t>
        </is>
      </c>
      <c r="K80" s="24" t="inlineStr">
        <is>
          <t>Functional</t>
        </is>
      </c>
      <c r="L80" s="24" t="inlineStr">
        <is>
          <t>QA Team</t>
        </is>
      </c>
      <c r="M80" s="24" t="inlineStr"/>
      <c r="N80" s="24" t="inlineStr"/>
    </row>
    <row r="81" ht="46" customHeight="1">
      <c r="A81" s="23" t="inlineStr">
        <is>
          <t>EDI-009</t>
        </is>
      </c>
      <c r="B81" s="23" t="inlineStr">
        <is>
          <t>Employment History</t>
        </is>
      </c>
      <c r="C81" s="23" t="inlineStr">
        <is>
          <t>Edit employment history</t>
        </is>
      </c>
      <c r="D81" s="23" t="inlineStr"/>
      <c r="E81" s="23" t="inlineStr">
        <is>
          <t>Update employment history field</t>
        </is>
      </c>
      <c r="F81" s="23" t="inlineStr"/>
      <c r="G81" s="23" t="inlineStr">
        <is>
          <t>Employment history is saved</t>
        </is>
      </c>
      <c r="H81" s="23" t="inlineStr">
        <is>
          <t>Employment history is saved</t>
        </is>
      </c>
      <c r="I81" s="23" t="inlineStr">
        <is>
          <t>Passed</t>
        </is>
      </c>
      <c r="J81" s="23" t="inlineStr">
        <is>
          <t>Medium</t>
        </is>
      </c>
      <c r="K81" s="23" t="inlineStr">
        <is>
          <t>Functional</t>
        </is>
      </c>
      <c r="L81" s="23" t="inlineStr">
        <is>
          <t>QA Team</t>
        </is>
      </c>
      <c r="M81" s="23" t="inlineStr"/>
      <c r="N81" s="23" t="inlineStr"/>
    </row>
    <row r="82" ht="46" customHeight="1">
      <c r="A82" s="24" t="inlineStr">
        <is>
          <t>EDI-010</t>
        </is>
      </c>
      <c r="B82" s="24" t="inlineStr">
        <is>
          <t>Experience</t>
        </is>
      </c>
      <c r="C82" s="24" t="inlineStr">
        <is>
          <t>Edit experience</t>
        </is>
      </c>
      <c r="D82" s="24" t="inlineStr"/>
      <c r="E82" s="24" t="inlineStr">
        <is>
          <t>Enter valid years of experience</t>
        </is>
      </c>
      <c r="F82" s="24" t="inlineStr"/>
      <c r="G82" s="24" t="inlineStr">
        <is>
          <t>Experience is updated</t>
        </is>
      </c>
      <c r="H82" s="24" t="inlineStr">
        <is>
          <t>Experience is updated</t>
        </is>
      </c>
      <c r="I82" s="24" t="inlineStr">
        <is>
          <t>Passed</t>
        </is>
      </c>
      <c r="J82" s="24" t="inlineStr">
        <is>
          <t>Medium</t>
        </is>
      </c>
      <c r="K82" s="24" t="inlineStr">
        <is>
          <t>Functional</t>
        </is>
      </c>
      <c r="L82" s="24" t="inlineStr">
        <is>
          <t>QA Team</t>
        </is>
      </c>
      <c r="M82" s="24" t="inlineStr"/>
      <c r="N82" s="24" t="inlineStr"/>
    </row>
    <row r="83" ht="46" customHeight="1">
      <c r="A83" s="23" t="inlineStr">
        <is>
          <t>EDI-011</t>
        </is>
      </c>
      <c r="B83" s="23" t="inlineStr">
        <is>
          <t>Experience Validation</t>
        </is>
      </c>
      <c r="C83" s="23" t="inlineStr">
        <is>
          <t>Enter invalid experience</t>
        </is>
      </c>
      <c r="D83" s="23" t="inlineStr"/>
      <c r="E83" s="23" t="inlineStr">
        <is>
          <t>Enter negative or high number</t>
        </is>
      </c>
      <c r="F83" s="23" t="inlineStr"/>
      <c r="G83" s="23" t="inlineStr">
        <is>
          <t>Validation message appears</t>
        </is>
      </c>
      <c r="H83" s="23" t="inlineStr">
        <is>
          <t>continue without error massage</t>
        </is>
      </c>
      <c r="I83" s="23" t="inlineStr">
        <is>
          <t>Failed</t>
        </is>
      </c>
      <c r="J83" s="23" t="inlineStr">
        <is>
          <t>Medium</t>
        </is>
      </c>
      <c r="K83" s="23" t="inlineStr">
        <is>
          <t>Functional</t>
        </is>
      </c>
      <c r="L83" s="23" t="inlineStr">
        <is>
          <t>QA Team</t>
        </is>
      </c>
      <c r="M83" s="23" t="inlineStr"/>
      <c r="N83" s="23" t="inlineStr"/>
    </row>
    <row r="84" ht="46" customHeight="1">
      <c r="A84" s="24" t="inlineStr">
        <is>
          <t>EDI-012</t>
        </is>
      </c>
      <c r="B84" s="24" t="inlineStr">
        <is>
          <t>Save Changes</t>
        </is>
      </c>
      <c r="C84" s="24" t="inlineStr">
        <is>
          <t>Save valid changes</t>
        </is>
      </c>
      <c r="D84" s="24" t="inlineStr"/>
      <c r="E84" s="24" t="inlineStr">
        <is>
          <t>Update fields and click Save Change</t>
        </is>
      </c>
      <c r="F84" s="24" t="inlineStr"/>
      <c r="G84" s="24" t="inlineStr">
        <is>
          <t>Changes are saved successfully</t>
        </is>
      </c>
      <c r="H84" s="24" t="inlineStr">
        <is>
          <t>Changes are saved successfully</t>
        </is>
      </c>
      <c r="I84" s="24" t="inlineStr">
        <is>
          <t>Passed</t>
        </is>
      </c>
      <c r="J84" s="24" t="inlineStr">
        <is>
          <t>Medium</t>
        </is>
      </c>
      <c r="K84" s="24" t="inlineStr">
        <is>
          <t>Functional</t>
        </is>
      </c>
      <c r="L84" s="24" t="inlineStr">
        <is>
          <t>QA Team</t>
        </is>
      </c>
      <c r="M84" s="24" t="inlineStr"/>
      <c r="N84" s="24" t="inlineStr"/>
    </row>
    <row r="85" ht="46" customHeight="1">
      <c r="A85" s="23" t="inlineStr">
        <is>
          <t>EDI-013</t>
        </is>
      </c>
      <c r="B85" s="23" t="inlineStr">
        <is>
          <t>Validation</t>
        </is>
      </c>
      <c r="C85" s="23" t="inlineStr">
        <is>
          <t>Save empty required fields</t>
        </is>
      </c>
      <c r="D85" s="23" t="inlineStr"/>
      <c r="E85" s="23" t="inlineStr">
        <is>
          <t>Clear required fields and save</t>
        </is>
      </c>
      <c r="F85" s="23" t="inlineStr"/>
      <c r="G85" s="23" t="inlineStr">
        <is>
          <t>Validation messages appear</t>
        </is>
      </c>
      <c r="H85" s="23" t="inlineStr">
        <is>
          <t>Validation messages appear</t>
        </is>
      </c>
      <c r="I85" s="23" t="inlineStr">
        <is>
          <t>Passed</t>
        </is>
      </c>
      <c r="J85" s="23" t="inlineStr">
        <is>
          <t>Medium</t>
        </is>
      </c>
      <c r="K85" s="23" t="inlineStr">
        <is>
          <t>Functional</t>
        </is>
      </c>
      <c r="L85" s="23" t="inlineStr">
        <is>
          <t>QA Team</t>
        </is>
      </c>
      <c r="M85" s="23" t="inlineStr"/>
      <c r="N85" s="23" t="inlineStr"/>
    </row>
    <row r="86" ht="46" customHeight="1">
      <c r="A86" s="24" t="inlineStr">
        <is>
          <t>EDI-014</t>
        </is>
      </c>
      <c r="B86" s="24" t="inlineStr">
        <is>
          <t>Database/API</t>
        </is>
      </c>
      <c r="C86" s="24" t="inlineStr">
        <is>
          <t>Verify updated data</t>
        </is>
      </c>
      <c r="D86" s="24" t="inlineStr"/>
      <c r="E86" s="24" t="inlineStr">
        <is>
          <t>Save changes and check database/API</t>
        </is>
      </c>
      <c r="F86" s="24" t="inlineStr"/>
      <c r="G86" s="24" t="inlineStr">
        <is>
          <t>Stored data matches changes</t>
        </is>
      </c>
      <c r="H86" s="24" t="inlineStr">
        <is>
          <t>Stored data matches changes</t>
        </is>
      </c>
      <c r="I86" s="24" t="inlineStr">
        <is>
          <t>Passed</t>
        </is>
      </c>
      <c r="J86" s="24" t="inlineStr">
        <is>
          <t>Medium</t>
        </is>
      </c>
      <c r="K86" s="24" t="inlineStr">
        <is>
          <t>Functional</t>
        </is>
      </c>
      <c r="L86" s="24" t="inlineStr">
        <is>
          <t>QA Team</t>
        </is>
      </c>
      <c r="M86" s="24" t="inlineStr"/>
      <c r="N86" s="24" t="inlineStr"/>
    </row>
    <row r="87" ht="46" customHeight="1">
      <c r="A87" s="23" t="inlineStr">
        <is>
          <t>EDI-015</t>
        </is>
      </c>
      <c r="B87" s="23" t="inlineStr">
        <is>
          <t>Responsive</t>
        </is>
      </c>
      <c r="C87" s="23" t="inlineStr">
        <is>
          <t>Check responsive design</t>
        </is>
      </c>
      <c r="D87" s="23" t="inlineStr"/>
      <c r="E87" s="23" t="inlineStr">
        <is>
          <t>Open page on mobile/tablet</t>
        </is>
      </c>
      <c r="F87" s="23" t="inlineStr"/>
      <c r="G87" s="23" t="inlineStr">
        <is>
          <t>Layout remains usable</t>
        </is>
      </c>
      <c r="H87" s="23" t="inlineStr">
        <is>
          <t>Layout remains usable</t>
        </is>
      </c>
      <c r="I87" s="23" t="inlineStr">
        <is>
          <t>Passed</t>
        </is>
      </c>
      <c r="J87" s="23" t="inlineStr">
        <is>
          <t>Medium</t>
        </is>
      </c>
      <c r="K87" s="23" t="inlineStr">
        <is>
          <t>Functional</t>
        </is>
      </c>
      <c r="L87" s="23" t="inlineStr">
        <is>
          <t>QA Team</t>
        </is>
      </c>
      <c r="M87" s="23" t="inlineStr"/>
      <c r="N87" s="23" t="inlineStr"/>
    </row>
    <row r="88" ht="46" customHeight="1">
      <c r="A88" s="24" t="inlineStr">
        <is>
          <t>EDI-016</t>
        </is>
      </c>
      <c r="B88" s="24" t="inlineStr">
        <is>
          <t>Edit Engineer</t>
        </is>
      </c>
      <c r="C88" s="24" t="inlineStr">
        <is>
          <t>Route smoke test</t>
        </is>
      </c>
      <c r="D88" s="24" t="inlineStr"/>
      <c r="E88" s="24" t="inlineStr">
        <is>
          <t>The Angular route resolves without a 404.</t>
        </is>
      </c>
      <c r="F88" s="24" t="inlineStr"/>
      <c r="G88" s="24" t="inlineStr">
        <is>
          <t>Development server running</t>
        </is>
      </c>
      <c r="H88" s="24" t="inlineStr">
        <is>
          <t>Open the implemented route on localhost:4200</t>
        </is>
      </c>
      <c r="I88" s="24" t="inlineStr">
        <is>
          <t>Not Run</t>
        </is>
      </c>
      <c r="J88" s="24" t="inlineStr">
        <is>
          <t>The Angular route resolves without a 404.</t>
        </is>
      </c>
      <c r="K88" s="24" t="inlineStr">
        <is>
          <t>Functional</t>
        </is>
      </c>
      <c r="L88" s="24" t="inlineStr">
        <is>
          <t>Not executed: requires isolated test data, credentials, or controlled API failure.</t>
        </is>
      </c>
      <c r="M88" s="24" t="inlineStr">
        <is>
          <t>Not Run</t>
        </is>
      </c>
      <c r="N88" s="24" t="inlineStr">
        <is>
          <t>Medium</t>
        </is>
      </c>
    </row>
    <row r="89" ht="46" customHeight="1">
      <c r="A89" s="23" t="inlineStr">
        <is>
          <t>EDI-017</t>
        </is>
      </c>
      <c r="B89" s="23" t="inlineStr">
        <is>
          <t>Edit Engineer</t>
        </is>
      </c>
      <c r="C89" s="23" t="inlineStr">
        <is>
          <t>Read-only API availability</t>
        </is>
      </c>
      <c r="D89" s="23" t="inlineStr"/>
      <c r="E89" s="23" t="inlineStr">
        <is>
          <t>Read-only data requests complete or a user-visible error is shown.</t>
        </is>
      </c>
      <c r="F89" s="23" t="inlineStr"/>
      <c r="G89" s="23" t="inlineStr">
        <is>
          <t>Local API at localhost:8080</t>
        </is>
      </c>
      <c r="H89" s="23" t="inlineStr">
        <is>
          <t>Load page with the local API running</t>
        </is>
      </c>
      <c r="I89" s="23" t="inlineStr">
        <is>
          <t>Not Run</t>
        </is>
      </c>
      <c r="J89" s="23" t="inlineStr">
        <is>
          <t>Read-only data requests complete or a user-visible error is shown.</t>
        </is>
      </c>
      <c r="K89" s="23" t="inlineStr">
        <is>
          <t>Functional</t>
        </is>
      </c>
      <c r="L89" s="23" t="inlineStr">
        <is>
          <t>Not executed: requires isolated test data, credentials, or controlled API failure.</t>
        </is>
      </c>
      <c r="M89" s="23" t="inlineStr">
        <is>
          <t>Not Run</t>
        </is>
      </c>
      <c r="N89" s="23" t="inlineStr">
        <is>
          <t>Medium</t>
        </is>
      </c>
    </row>
    <row r="90" ht="46" customHeight="1">
      <c r="A90" s="24" t="inlineStr">
        <is>
          <t>EDI-018</t>
        </is>
      </c>
      <c r="B90" s="24" t="inlineStr">
        <is>
          <t>Edit Engineer</t>
        </is>
      </c>
      <c r="C90" s="24" t="inlineStr">
        <is>
          <t>Data-changing regression</t>
        </is>
      </c>
      <c r="D90" s="24" t="inlineStr"/>
      <c r="E90" s="24" t="inlineStr">
        <is>
          <t>Only the test record is changed and can be cleaned up.</t>
        </is>
      </c>
      <c r="F90" s="24" t="inlineStr"/>
      <c r="G90" s="24" t="inlineStr">
        <is>
          <t>Dedicated test database and account</t>
        </is>
      </c>
      <c r="H90" s="24" t="inlineStr">
        <is>
          <t>Create, edit, or delete a record using an isolated test account</t>
        </is>
      </c>
      <c r="I90" s="24" t="inlineStr">
        <is>
          <t>Not Run</t>
        </is>
      </c>
      <c r="J90" s="24" t="inlineStr">
        <is>
          <t>Only the test record is changed and can be cleaned up.</t>
        </is>
      </c>
      <c r="K90" s="24" t="inlineStr">
        <is>
          <t>Functional</t>
        </is>
      </c>
      <c r="L90" s="24" t="inlineStr">
        <is>
          <t>Not executed: requires isolated test data, credentials, or controlled API failure.</t>
        </is>
      </c>
      <c r="M90" s="24" t="inlineStr">
        <is>
          <t>Not Run</t>
        </is>
      </c>
      <c r="N90" s="24" t="inlineStr">
        <is>
          <t>Medium</t>
        </is>
      </c>
    </row>
    <row r="91" ht="46" customHeight="1">
      <c r="A91" s="23" t="inlineStr">
        <is>
          <t>ENG-001</t>
        </is>
      </c>
      <c r="B91" s="23" t="inlineStr">
        <is>
          <t>Page Load</t>
        </is>
      </c>
      <c r="C91" s="23" t="inlineStr">
        <is>
          <t>Verify Engineer Details page opens</t>
        </is>
      </c>
      <c r="D91" s="23" t="inlineStr"/>
      <c r="E91" s="23" t="inlineStr">
        <is>
          <t>Open the page</t>
        </is>
      </c>
      <c r="F91" s="23" t="inlineStr"/>
      <c r="G91" s="23" t="inlineStr">
        <is>
          <t>Page loads successfully</t>
        </is>
      </c>
      <c r="H91" s="23" t="inlineStr">
        <is>
          <t>Page loads successfully</t>
        </is>
      </c>
      <c r="I91" s="23" t="inlineStr">
        <is>
          <t>Passed</t>
        </is>
      </c>
      <c r="J91" s="23" t="inlineStr">
        <is>
          <t>Medium</t>
        </is>
      </c>
      <c r="K91" s="23" t="inlineStr">
        <is>
          <t>Functional</t>
        </is>
      </c>
      <c r="L91" s="23" t="inlineStr">
        <is>
          <t>QA Team</t>
        </is>
      </c>
      <c r="M91" s="23" t="inlineStr"/>
      <c r="N91" s="23" t="inlineStr"/>
    </row>
    <row r="92" ht="46" customHeight="1">
      <c r="A92" s="24" t="inlineStr">
        <is>
          <t>ENG-002</t>
        </is>
      </c>
      <c r="B92" s="24" t="inlineStr">
        <is>
          <t>Search</t>
        </is>
      </c>
      <c r="C92" s="24" t="inlineStr">
        <is>
          <t>Search using valid text</t>
        </is>
      </c>
      <c r="D92" s="24" t="inlineStr"/>
      <c r="E92" s="24" t="inlineStr">
        <is>
          <t>Enter text in search field</t>
        </is>
      </c>
      <c r="F92" s="24" t="inlineStr"/>
      <c r="G92" s="24" t="inlineStr">
        <is>
          <t>Matching results are displayed</t>
        </is>
      </c>
      <c r="H92" s="24" t="inlineStr">
        <is>
          <t>the search doesn't work</t>
        </is>
      </c>
      <c r="I92" s="24" t="inlineStr">
        <is>
          <t>Failed</t>
        </is>
      </c>
      <c r="J92" s="24" t="inlineStr">
        <is>
          <t>Medium</t>
        </is>
      </c>
      <c r="K92" s="24" t="inlineStr">
        <is>
          <t>Functional</t>
        </is>
      </c>
      <c r="L92" s="24" t="inlineStr">
        <is>
          <t>QA Team</t>
        </is>
      </c>
      <c r="M92" s="24" t="inlineStr"/>
      <c r="N92" s="24" t="inlineStr"/>
    </row>
    <row r="93" ht="46" customHeight="1">
      <c r="A93" s="23" t="inlineStr">
        <is>
          <t>ENG-003</t>
        </is>
      </c>
      <c r="B93" s="23" t="inlineStr">
        <is>
          <t>Navigation</t>
        </is>
      </c>
      <c r="C93" s="23" t="inlineStr">
        <is>
          <t>Verify Back button</t>
        </is>
      </c>
      <c r="D93" s="23" t="inlineStr"/>
      <c r="E93" s="23" t="inlineStr">
        <is>
          <t>Click Back button</t>
        </is>
      </c>
      <c r="F93" s="23" t="inlineStr"/>
      <c r="G93" s="23" t="inlineStr">
        <is>
          <t>User returns to previous page</t>
        </is>
      </c>
      <c r="H93" s="23" t="inlineStr">
        <is>
          <t>User returns to previous page</t>
        </is>
      </c>
      <c r="I93" s="23" t="inlineStr">
        <is>
          <t>Passed</t>
        </is>
      </c>
      <c r="J93" s="23" t="inlineStr">
        <is>
          <t>Medium</t>
        </is>
      </c>
      <c r="K93" s="23" t="inlineStr">
        <is>
          <t>Functional</t>
        </is>
      </c>
      <c r="L93" s="23" t="inlineStr">
        <is>
          <t>QA Team</t>
        </is>
      </c>
      <c r="M93" s="23" t="inlineStr"/>
      <c r="N93" s="23" t="inlineStr"/>
    </row>
    <row r="94" ht="46" customHeight="1">
      <c r="A94" s="24" t="inlineStr">
        <is>
          <t>ENG-004</t>
        </is>
      </c>
      <c r="B94" s="24" t="inlineStr">
        <is>
          <t>Profile</t>
        </is>
      </c>
      <c r="C94" s="24" t="inlineStr">
        <is>
          <t>Verify profile picture</t>
        </is>
      </c>
      <c r="D94" s="24" t="inlineStr"/>
      <c r="E94" s="24" t="inlineStr">
        <is>
          <t>Check profile image section</t>
        </is>
      </c>
      <c r="F94" s="24" t="inlineStr"/>
      <c r="G94" s="24" t="inlineStr">
        <is>
          <t>Profile image is displayed</t>
        </is>
      </c>
      <c r="H94" s="24" t="inlineStr">
        <is>
          <t>Profile image is displayed</t>
        </is>
      </c>
      <c r="I94" s="24" t="inlineStr">
        <is>
          <t>Passed</t>
        </is>
      </c>
      <c r="J94" s="24" t="inlineStr">
        <is>
          <t>Medium</t>
        </is>
      </c>
      <c r="K94" s="24" t="inlineStr">
        <is>
          <t>Functional</t>
        </is>
      </c>
      <c r="L94" s="24" t="inlineStr">
        <is>
          <t>QA Team</t>
        </is>
      </c>
      <c r="M94" s="24" t="inlineStr"/>
      <c r="N94" s="24" t="inlineStr"/>
    </row>
    <row r="95" ht="46" customHeight="1">
      <c r="A95" s="23" t="inlineStr">
        <is>
          <t>ENG-005</t>
        </is>
      </c>
      <c r="B95" s="23" t="inlineStr">
        <is>
          <t>Profile</t>
        </is>
      </c>
      <c r="C95" s="23" t="inlineStr">
        <is>
          <t>Verify engineer information</t>
        </is>
      </c>
      <c r="D95" s="23" t="inlineStr"/>
      <c r="E95" s="23" t="inlineStr">
        <is>
          <t>Check engineer name, email and education</t>
        </is>
      </c>
      <c r="F95" s="23" t="inlineStr"/>
      <c r="G95" s="23" t="inlineStr">
        <is>
          <t>Correct information is displayed</t>
        </is>
      </c>
      <c r="H95" s="23" t="inlineStr">
        <is>
          <t>Correct information is displayed</t>
        </is>
      </c>
      <c r="I95" s="23" t="inlineStr">
        <is>
          <t>Passed</t>
        </is>
      </c>
      <c r="J95" s="23" t="inlineStr">
        <is>
          <t>Medium</t>
        </is>
      </c>
      <c r="K95" s="23" t="inlineStr">
        <is>
          <t>Functional</t>
        </is>
      </c>
      <c r="L95" s="23" t="inlineStr">
        <is>
          <t>QA Team</t>
        </is>
      </c>
      <c r="M95" s="23" t="inlineStr"/>
      <c r="N95" s="23" t="inlineStr"/>
    </row>
    <row r="96" ht="46" customHeight="1">
      <c r="A96" s="24" t="inlineStr">
        <is>
          <t>ENG-006</t>
        </is>
      </c>
      <c r="B96" s="24" t="inlineStr">
        <is>
          <t>Students Card</t>
        </is>
      </c>
      <c r="C96" s="24" t="inlineStr">
        <is>
          <t>Verify students count</t>
        </is>
      </c>
      <c r="D96" s="24" t="inlineStr"/>
      <c r="E96" s="24" t="inlineStr">
        <is>
          <t>Check students card</t>
        </is>
      </c>
      <c r="F96" s="24" t="inlineStr"/>
      <c r="G96" s="24" t="inlineStr">
        <is>
          <t>Correct number of students is shown</t>
        </is>
      </c>
      <c r="H96" s="24" t="inlineStr">
        <is>
          <t>Correct number of students is shown</t>
        </is>
      </c>
      <c r="I96" s="24" t="inlineStr">
        <is>
          <t>Passed</t>
        </is>
      </c>
      <c r="J96" s="24" t="inlineStr">
        <is>
          <t>Medium</t>
        </is>
      </c>
      <c r="K96" s="24" t="inlineStr">
        <is>
          <t>Functional</t>
        </is>
      </c>
      <c r="L96" s="24" t="inlineStr">
        <is>
          <t>QA Team</t>
        </is>
      </c>
      <c r="M96" s="24" t="inlineStr"/>
      <c r="N96" s="24" t="inlineStr"/>
    </row>
    <row r="97" ht="46" customHeight="1">
      <c r="A97" s="23" t="inlineStr">
        <is>
          <t>ENG-007</t>
        </is>
      </c>
      <c r="B97" s="23" t="inlineStr">
        <is>
          <t>Feedback Card</t>
        </is>
      </c>
      <c r="C97" s="23" t="inlineStr">
        <is>
          <t>Verify feedback count</t>
        </is>
      </c>
      <c r="D97" s="23" t="inlineStr"/>
      <c r="E97" s="23" t="inlineStr">
        <is>
          <t>Check feedback card</t>
        </is>
      </c>
      <c r="F97" s="23" t="inlineStr"/>
      <c r="G97" s="23" t="inlineStr">
        <is>
          <t>Correct feedback count is shown</t>
        </is>
      </c>
      <c r="H97" s="23" t="inlineStr">
        <is>
          <t>Correct feedback count is shown</t>
        </is>
      </c>
      <c r="I97" s="23" t="inlineStr">
        <is>
          <t>Passed</t>
        </is>
      </c>
      <c r="J97" s="23" t="inlineStr">
        <is>
          <t>Medium</t>
        </is>
      </c>
      <c r="K97" s="23" t="inlineStr">
        <is>
          <t>Functional</t>
        </is>
      </c>
      <c r="L97" s="23" t="inlineStr">
        <is>
          <t>QA Team</t>
        </is>
      </c>
      <c r="M97" s="23" t="inlineStr"/>
      <c r="N97" s="23" t="inlineStr"/>
    </row>
    <row r="98" ht="46" customHeight="1">
      <c r="A98" s="24" t="inlineStr">
        <is>
          <t>ENG-008</t>
        </is>
      </c>
      <c r="B98" s="24" t="inlineStr">
        <is>
          <t>Rating Card</t>
        </is>
      </c>
      <c r="C98" s="24" t="inlineStr">
        <is>
          <t>Verify rating value</t>
        </is>
      </c>
      <c r="D98" s="24" t="inlineStr"/>
      <c r="E98" s="24" t="inlineStr">
        <is>
          <t>Check rating card</t>
        </is>
      </c>
      <c r="F98" s="24" t="inlineStr"/>
      <c r="G98" s="24" t="inlineStr">
        <is>
          <t>Correct rating value is shown</t>
        </is>
      </c>
      <c r="H98" s="24" t="inlineStr">
        <is>
          <t>Correct rating value is shown</t>
        </is>
      </c>
      <c r="I98" s="24" t="inlineStr">
        <is>
          <t>Passed</t>
        </is>
      </c>
      <c r="J98" s="24" t="inlineStr">
        <is>
          <t>Medium</t>
        </is>
      </c>
      <c r="K98" s="24" t="inlineStr">
        <is>
          <t>Functional</t>
        </is>
      </c>
      <c r="L98" s="24" t="inlineStr">
        <is>
          <t>QA Team</t>
        </is>
      </c>
      <c r="M98" s="24" t="inlineStr"/>
      <c r="N98" s="24" t="inlineStr"/>
    </row>
    <row r="99" ht="46" customHeight="1">
      <c r="A99" s="23" t="inlineStr">
        <is>
          <t>ENG-009</t>
        </is>
      </c>
      <c r="B99" s="23" t="inlineStr">
        <is>
          <t>Tabs</t>
        </is>
      </c>
      <c r="C99" s="23" t="inlineStr">
        <is>
          <t>Open Overview tab</t>
        </is>
      </c>
      <c r="D99" s="23" t="inlineStr"/>
      <c r="E99" s="23" t="inlineStr">
        <is>
          <t>Click Overview tab</t>
        </is>
      </c>
      <c r="F99" s="23" t="inlineStr"/>
      <c r="G99" s="23" t="inlineStr">
        <is>
          <t>Overview content is displayed</t>
        </is>
      </c>
      <c r="H99" s="23" t="inlineStr">
        <is>
          <t>Overview content is displayed</t>
        </is>
      </c>
      <c r="I99" s="23" t="inlineStr">
        <is>
          <t>Passed</t>
        </is>
      </c>
      <c r="J99" s="23" t="inlineStr">
        <is>
          <t>Medium</t>
        </is>
      </c>
      <c r="K99" s="23" t="inlineStr">
        <is>
          <t>Functional</t>
        </is>
      </c>
      <c r="L99" s="23" t="inlineStr">
        <is>
          <t>QA Team</t>
        </is>
      </c>
      <c r="M99" s="23" t="inlineStr"/>
      <c r="N99" s="23" t="inlineStr"/>
    </row>
    <row r="100" ht="46" customHeight="1">
      <c r="A100" s="24" t="inlineStr">
        <is>
          <t>ENG-010</t>
        </is>
      </c>
      <c r="B100" s="24" t="inlineStr">
        <is>
          <t>Tabs</t>
        </is>
      </c>
      <c r="C100" s="24" t="inlineStr">
        <is>
          <t>Open Personal Info tab</t>
        </is>
      </c>
      <c r="D100" s="24" t="inlineStr"/>
      <c r="E100" s="24" t="inlineStr">
        <is>
          <t>Click Personal Info tab</t>
        </is>
      </c>
      <c r="F100" s="24" t="inlineStr"/>
      <c r="G100" s="24" t="inlineStr">
        <is>
          <t>Personal information is displayed</t>
        </is>
      </c>
      <c r="H100" s="24" t="inlineStr">
        <is>
          <t>Personal information is displayed</t>
        </is>
      </c>
      <c r="I100" s="24" t="inlineStr">
        <is>
          <t>Passed</t>
        </is>
      </c>
      <c r="J100" s="24" t="inlineStr">
        <is>
          <t>Medium</t>
        </is>
      </c>
      <c r="K100" s="24" t="inlineStr">
        <is>
          <t>Functional</t>
        </is>
      </c>
      <c r="L100" s="24" t="inlineStr">
        <is>
          <t>QA Team</t>
        </is>
      </c>
      <c r="M100" s="24" t="inlineStr"/>
      <c r="N100" s="24" t="inlineStr"/>
    </row>
    <row r="101" ht="46" customHeight="1">
      <c r="A101" s="23" t="inlineStr">
        <is>
          <t>ENG-011</t>
        </is>
      </c>
      <c r="B101" s="23" t="inlineStr">
        <is>
          <t>About</t>
        </is>
      </c>
      <c r="C101" s="23" t="inlineStr">
        <is>
          <t>Verify About section</t>
        </is>
      </c>
      <c r="D101" s="23" t="inlineStr"/>
      <c r="E101" s="23" t="inlineStr">
        <is>
          <t>Check education, employment history and experience</t>
        </is>
      </c>
      <c r="F101" s="23" t="inlineStr"/>
      <c r="G101" s="23" t="inlineStr">
        <is>
          <t>Correct information is displayed</t>
        </is>
      </c>
      <c r="H101" s="23" t="inlineStr">
        <is>
          <t>Correct information is displayed</t>
        </is>
      </c>
      <c r="I101" s="23" t="inlineStr">
        <is>
          <t>Passed</t>
        </is>
      </c>
      <c r="J101" s="23" t="inlineStr">
        <is>
          <t>Medium</t>
        </is>
      </c>
      <c r="K101" s="23" t="inlineStr">
        <is>
          <t>Functional</t>
        </is>
      </c>
      <c r="L101" s="23" t="inlineStr">
        <is>
          <t>QA Team</t>
        </is>
      </c>
      <c r="M101" s="23" t="inlineStr"/>
      <c r="N101" s="23" t="inlineStr"/>
    </row>
    <row r="102" ht="46" customHeight="1">
      <c r="A102" s="24" t="inlineStr">
        <is>
          <t>ENG-012</t>
        </is>
      </c>
      <c r="B102" s="24" t="inlineStr">
        <is>
          <t>Statistics</t>
        </is>
      </c>
      <c r="C102" s="24" t="inlineStr">
        <is>
          <t>Verify statistics section</t>
        </is>
      </c>
      <c r="D102" s="24" t="inlineStr"/>
      <c r="E102" s="24" t="inlineStr">
        <is>
          <t>Check students, reports and rating values</t>
        </is>
      </c>
      <c r="F102" s="24" t="inlineStr"/>
      <c r="G102" s="24" t="inlineStr">
        <is>
          <t>Statistics are correct</t>
        </is>
      </c>
      <c r="H102" s="24" t="inlineStr">
        <is>
          <t>Statistics are correct</t>
        </is>
      </c>
      <c r="I102" s="24" t="inlineStr">
        <is>
          <t>Passed</t>
        </is>
      </c>
      <c r="J102" s="24" t="inlineStr">
        <is>
          <t>Medium</t>
        </is>
      </c>
      <c r="K102" s="24" t="inlineStr">
        <is>
          <t>Functional</t>
        </is>
      </c>
      <c r="L102" s="24" t="inlineStr">
        <is>
          <t>QA Team</t>
        </is>
      </c>
      <c r="M102" s="24" t="inlineStr"/>
      <c r="N102" s="24" t="inlineStr"/>
    </row>
    <row r="103" ht="46" customHeight="1">
      <c r="A103" s="23" t="inlineStr">
        <is>
          <t>ENG-013</t>
        </is>
      </c>
      <c r="B103" s="23" t="inlineStr">
        <is>
          <t>Send Message</t>
        </is>
      </c>
      <c r="C103" s="23" t="inlineStr">
        <is>
          <t>Verify Send Message button</t>
        </is>
      </c>
      <c r="D103" s="23" t="inlineStr"/>
      <c r="E103" s="23" t="inlineStr">
        <is>
          <t>Click Send Message</t>
        </is>
      </c>
      <c r="F103" s="23" t="inlineStr"/>
      <c r="G103" s="23" t="inlineStr">
        <is>
          <t>Message screen opens</t>
        </is>
      </c>
      <c r="H103" s="23" t="inlineStr">
        <is>
          <t>the button doesn't work</t>
        </is>
      </c>
      <c r="I103" s="23" t="inlineStr">
        <is>
          <t>Failed</t>
        </is>
      </c>
      <c r="J103" s="23" t="inlineStr">
        <is>
          <t>Medium</t>
        </is>
      </c>
      <c r="K103" s="23" t="inlineStr">
        <is>
          <t>Functional</t>
        </is>
      </c>
      <c r="L103" s="23" t="inlineStr">
        <is>
          <t>QA Team</t>
        </is>
      </c>
      <c r="M103" s="23" t="inlineStr"/>
      <c r="N103" s="23" t="inlineStr"/>
    </row>
    <row r="104" ht="46" customHeight="1">
      <c r="A104" s="24" t="inlineStr">
        <is>
          <t>ENG-014</t>
        </is>
      </c>
      <c r="B104" s="24" t="inlineStr">
        <is>
          <t>Database/API</t>
        </is>
      </c>
      <c r="C104" s="24" t="inlineStr">
        <is>
          <t>Validate data with backend</t>
        </is>
      </c>
      <c r="D104" s="24" t="inlineStr"/>
      <c r="E104" s="24" t="inlineStr">
        <is>
          <t>Compare screen data with API/database</t>
        </is>
      </c>
      <c r="F104" s="24" t="inlineStr"/>
      <c r="G104" s="24" t="inlineStr">
        <is>
          <t>Displayed data matches backend</t>
        </is>
      </c>
      <c r="H104" s="24" t="inlineStr">
        <is>
          <t>Displayed data matches backend</t>
        </is>
      </c>
      <c r="I104" s="24" t="inlineStr">
        <is>
          <t>Passed</t>
        </is>
      </c>
      <c r="J104" s="24" t="inlineStr">
        <is>
          <t>Medium</t>
        </is>
      </c>
      <c r="K104" s="24" t="inlineStr">
        <is>
          <t>Functional</t>
        </is>
      </c>
      <c r="L104" s="24" t="inlineStr">
        <is>
          <t>QA Team</t>
        </is>
      </c>
      <c r="M104" s="24" t="inlineStr"/>
      <c r="N104" s="24" t="inlineStr"/>
    </row>
    <row r="105" ht="46" customHeight="1">
      <c r="A105" s="23" t="inlineStr">
        <is>
          <t>ENG-015</t>
        </is>
      </c>
      <c r="B105" s="23" t="inlineStr">
        <is>
          <t>Responsive</t>
        </is>
      </c>
      <c r="C105" s="23" t="inlineStr">
        <is>
          <t>Verify responsive layout</t>
        </is>
      </c>
      <c r="D105" s="23" t="inlineStr"/>
      <c r="E105" s="23" t="inlineStr">
        <is>
          <t>Open page on mobile/tablet</t>
        </is>
      </c>
      <c r="F105" s="23" t="inlineStr"/>
      <c r="G105" s="23" t="inlineStr">
        <is>
          <t>Layout remains usable</t>
        </is>
      </c>
      <c r="H105" s="23" t="inlineStr">
        <is>
          <t>Layout remains usable</t>
        </is>
      </c>
      <c r="I105" s="23" t="inlineStr">
        <is>
          <t>Passed</t>
        </is>
      </c>
      <c r="J105" s="23" t="inlineStr">
        <is>
          <t>Medium</t>
        </is>
      </c>
      <c r="K105" s="23" t="inlineStr">
        <is>
          <t>Functional</t>
        </is>
      </c>
      <c r="L105" s="23" t="inlineStr">
        <is>
          <t>QA Team</t>
        </is>
      </c>
      <c r="M105" s="23" t="inlineStr"/>
      <c r="N105" s="23" t="inlineStr"/>
    </row>
    <row r="106" ht="46" customHeight="1">
      <c r="A106" s="24" t="inlineStr">
        <is>
          <t>ENG-016</t>
        </is>
      </c>
      <c r="B106" s="24" t="inlineStr">
        <is>
          <t>Engineer All Details</t>
        </is>
      </c>
      <c r="C106" s="24" t="inlineStr">
        <is>
          <t>Route smoke test</t>
        </is>
      </c>
      <c r="D106" s="24" t="inlineStr"/>
      <c r="E106" s="24" t="inlineStr">
        <is>
          <t>The Angular route resolves without a 404.</t>
        </is>
      </c>
      <c r="F106" s="24" t="inlineStr"/>
      <c r="G106" s="24" t="inlineStr">
        <is>
          <t>Development server running</t>
        </is>
      </c>
      <c r="H106" s="24" t="inlineStr">
        <is>
          <t>Open the implemented route on localhost:4200</t>
        </is>
      </c>
      <c r="I106" s="24" t="inlineStr">
        <is>
          <t>Not Run</t>
        </is>
      </c>
      <c r="J106" s="24" t="inlineStr">
        <is>
          <t>The Angular route resolves without a 404.</t>
        </is>
      </c>
      <c r="K106" s="24" t="inlineStr">
        <is>
          <t>Functional</t>
        </is>
      </c>
      <c r="L106" s="24" t="inlineStr">
        <is>
          <t>Not executed: requires isolated test data, credentials, or controlled API failure.</t>
        </is>
      </c>
      <c r="M106" s="24" t="inlineStr">
        <is>
          <t>Not Run</t>
        </is>
      </c>
      <c r="N106" s="24" t="inlineStr">
        <is>
          <t>Medium</t>
        </is>
      </c>
    </row>
    <row r="107" ht="46" customHeight="1">
      <c r="A107" s="23" t="inlineStr">
        <is>
          <t>ENG-017</t>
        </is>
      </c>
      <c r="B107" s="23" t="inlineStr">
        <is>
          <t>Engineer All Details</t>
        </is>
      </c>
      <c r="C107" s="23" t="inlineStr">
        <is>
          <t>Read-only API availability</t>
        </is>
      </c>
      <c r="D107" s="23" t="inlineStr"/>
      <c r="E107" s="23" t="inlineStr">
        <is>
          <t>Read-only data requests complete or a user-visible error is shown.</t>
        </is>
      </c>
      <c r="F107" s="23" t="inlineStr"/>
      <c r="G107" s="23" t="inlineStr">
        <is>
          <t>Local API at localhost:8080</t>
        </is>
      </c>
      <c r="H107" s="23" t="inlineStr">
        <is>
          <t>Load page with the local API running</t>
        </is>
      </c>
      <c r="I107" s="23" t="inlineStr">
        <is>
          <t>Not Run</t>
        </is>
      </c>
      <c r="J107" s="23" t="inlineStr">
        <is>
          <t>Read-only data requests complete or a user-visible error is shown.</t>
        </is>
      </c>
      <c r="K107" s="23" t="inlineStr">
        <is>
          <t>Functional</t>
        </is>
      </c>
      <c r="L107" s="23" t="inlineStr">
        <is>
          <t>Not executed: requires isolated test data, credentials, or controlled API failure.</t>
        </is>
      </c>
      <c r="M107" s="23" t="inlineStr">
        <is>
          <t>Not Run</t>
        </is>
      </c>
      <c r="N107" s="23" t="inlineStr">
        <is>
          <t>Medium</t>
        </is>
      </c>
    </row>
    <row r="108" ht="46" customHeight="1">
      <c r="A108" s="24" t="inlineStr">
        <is>
          <t>ENG-018</t>
        </is>
      </c>
      <c r="B108" s="24" t="inlineStr">
        <is>
          <t>Engineer All Details</t>
        </is>
      </c>
      <c r="C108" s="24" t="inlineStr">
        <is>
          <t>Data-changing regression</t>
        </is>
      </c>
      <c r="D108" s="24" t="inlineStr"/>
      <c r="E108" s="24" t="inlineStr">
        <is>
          <t>Only the test record is changed and can be cleaned up.</t>
        </is>
      </c>
      <c r="F108" s="24" t="inlineStr"/>
      <c r="G108" s="24" t="inlineStr">
        <is>
          <t>Dedicated test database and account</t>
        </is>
      </c>
      <c r="H108" s="24" t="inlineStr">
        <is>
          <t>Create, edit, or delete a record using an isolated test account</t>
        </is>
      </c>
      <c r="I108" s="24" t="inlineStr">
        <is>
          <t>Not Run</t>
        </is>
      </c>
      <c r="J108" s="24" t="inlineStr">
        <is>
          <t>Only the test record is changed and can be cleaned up.</t>
        </is>
      </c>
      <c r="K108" s="24" t="inlineStr">
        <is>
          <t>Functional</t>
        </is>
      </c>
      <c r="L108" s="24" t="inlineStr">
        <is>
          <t>Not executed: requires isolated test data, credentials, or controlled API failure.</t>
        </is>
      </c>
      <c r="M108" s="24" t="inlineStr">
        <is>
          <t>Not Run</t>
        </is>
      </c>
      <c r="N108" s="24" t="inlineStr">
        <is>
          <t>Medium</t>
        </is>
      </c>
    </row>
    <row r="109" ht="46" customHeight="1">
      <c r="A109" s="23" t="inlineStr">
        <is>
          <t>STU-001</t>
        </is>
      </c>
      <c r="B109" s="23" t="inlineStr">
        <is>
          <t>Students</t>
        </is>
      </c>
      <c r="C109" s="23" t="inlineStr">
        <is>
          <t>View all students list</t>
        </is>
      </c>
      <c r="D109" s="23" t="inlineStr">
        <is>
          <t>At least one student exists</t>
        </is>
      </c>
      <c r="E109" s="23" t="inlineStr">
        <is>
          <t>1. Navigate to /studentsList</t>
        </is>
      </c>
      <c r="F109" s="23" t="inlineStr">
        <is>
          <t>N/A</t>
        </is>
      </c>
      <c r="G109" s="23" t="inlineStr">
        <is>
          <t>GET /api/students returns StudentDTO[] (id, first_name, last_name, grade, status); table renders correctly</t>
        </is>
      </c>
      <c r="H109" s="23" t="inlineStr">
        <is>
          <t>returns StudentDTO[] (id, first_name, last_name, grade, status); table renders correctly Run</t>
        </is>
      </c>
      <c r="I109" s="23" t="inlineStr">
        <is>
          <t>Not Run</t>
        </is>
      </c>
      <c r="J109" s="23" t="inlineStr">
        <is>
          <t>High</t>
        </is>
      </c>
      <c r="K109" s="23" t="inlineStr">
        <is>
          <t>Functional</t>
        </is>
      </c>
      <c r="L109" s="23" t="inlineStr">
        <is>
          <t>QA Team</t>
        </is>
      </c>
      <c r="M109" s="23" t="inlineStr"/>
      <c r="N109" s="23" t="inlineStr"/>
    </row>
    <row r="110" ht="46" customHeight="1">
      <c r="A110" s="24" t="inlineStr">
        <is>
          <t>STU-002</t>
        </is>
      </c>
      <c r="B110" s="24" t="inlineStr">
        <is>
          <t>Students</t>
        </is>
      </c>
      <c r="C110" s="24" t="inlineStr">
        <is>
          <t>Verify no Create/Update/Delete endpoints exist for Students</t>
        </is>
      </c>
      <c r="D110" s="24" t="inlineStr">
        <is>
          <t>Verify no Create/Update/Delete endpoints exist for Students</t>
        </is>
      </c>
      <c r="E110" s="24" t="inlineStr">
        <is>
          <t>N/A</t>
        </is>
      </c>
      <c r="F110" s="24" t="inlineStr">
        <is>
          <t>1. Attempt POST/PUT/DELETE to /api/students</t>
        </is>
      </c>
      <c r="G110" s="24" t="inlineStr">
        <is>
          <t>N/A</t>
        </is>
      </c>
      <c r="H110" s="24" t="inlineStr">
        <is>
          <t>EXPECTED: documented decision whether student CRUD is out of scope or missing (see BUG-11 — StudentController only exposes GET endpoints; no way to add/edit/remove a student via API)</t>
        </is>
      </c>
      <c r="I110" s="24" t="inlineStr">
        <is>
          <t>Not Run</t>
        </is>
      </c>
      <c r="J110" s="24" t="inlineStr">
        <is>
          <t>Medium</t>
        </is>
      </c>
      <c r="K110" s="24" t="inlineStr">
        <is>
          <t>Functional</t>
        </is>
      </c>
      <c r="L110" s="24" t="inlineStr">
        <is>
          <t>QA Team</t>
        </is>
      </c>
      <c r="M110" s="24" t="inlineStr"/>
      <c r="N110" s="24" t="inlineStr"/>
    </row>
    <row r="111" ht="46" customHeight="1">
      <c r="A111" s="23" t="inlineStr">
        <is>
          <t>STU-003</t>
        </is>
      </c>
      <c r="B111" s="23" t="inlineStr">
        <is>
          <t>Students</t>
        </is>
      </c>
      <c r="C111" s="23" t="inlineStr">
        <is>
          <t>Student status field reflects isdeleted flag correctly</t>
        </is>
      </c>
      <c r="D111" s="23" t="inlineStr">
        <is>
          <t>Student status field reflects isdeleted flag correctly</t>
        </is>
      </c>
      <c r="E111" s="23" t="inlineStr">
        <is>
          <t>One active, one soft-deleted student user</t>
        </is>
      </c>
      <c r="F111" s="23" t="inlineStr">
        <is>
          <t>1. GET /api/students
2. Compare 'status' field to isdeleted flag in DB</t>
        </is>
      </c>
      <c r="G111" s="23" t="inlineStr">
        <is>
          <t>N/A</t>
        </is>
      </c>
      <c r="H111" s="23" t="inlineStr">
        <is>
          <t>status boolean correctly mirrors user.isdeleted for each student</t>
        </is>
      </c>
      <c r="I111" s="23" t="inlineStr">
        <is>
          <t>Not Run</t>
        </is>
      </c>
      <c r="J111" s="23" t="inlineStr">
        <is>
          <t>Medium</t>
        </is>
      </c>
      <c r="K111" s="23" t="inlineStr">
        <is>
          <t>Functional</t>
        </is>
      </c>
      <c r="L111" s="23" t="inlineStr">
        <is>
          <t>QA Team</t>
        </is>
      </c>
      <c r="M111" s="23" t="inlineStr"/>
      <c r="N111" s="23" t="inlineStr"/>
    </row>
    <row r="112" ht="46" customHeight="1">
      <c r="A112" s="24" t="inlineStr">
        <is>
          <t>STU-004</t>
        </is>
      </c>
      <c r="B112" s="24" t="inlineStr">
        <is>
          <t>Students</t>
        </is>
      </c>
      <c r="C112" s="24" t="inlineStr">
        <is>
          <t>Access students endpoint without authentication</t>
        </is>
      </c>
      <c r="D112" s="24" t="inlineStr">
        <is>
          <t>Access students endpoint without authentication</t>
        </is>
      </c>
      <c r="E112" s="24" t="inlineStr">
        <is>
          <t>No token</t>
        </is>
      </c>
      <c r="F112" s="24" t="inlineStr">
        <is>
          <t>1. GET /api/students with no Authorization header</t>
        </is>
      </c>
      <c r="G112" s="24" t="inlineStr">
        <is>
          <t>N/A</t>
        </is>
      </c>
      <c r="H112" s="24" t="inlineStr">
        <is>
          <t>Should return 401 Unauthorized (see BUG-01)</t>
        </is>
      </c>
      <c r="I112" s="24" t="inlineStr">
        <is>
          <t>Not Run</t>
        </is>
      </c>
      <c r="J112" s="24" t="inlineStr">
        <is>
          <t>High</t>
        </is>
      </c>
      <c r="K112" s="24" t="inlineStr">
        <is>
          <t>Functional</t>
        </is>
      </c>
      <c r="L112" s="24" t="inlineStr">
        <is>
          <t>QA Team</t>
        </is>
      </c>
      <c r="M112" s="24" t="inlineStr"/>
      <c r="N112" s="24" t="inlineStr"/>
    </row>
    <row r="113" ht="46" customHeight="1">
      <c r="A113" s="23" t="inlineStr">
        <is>
          <t>STU-005</t>
        </is>
      </c>
      <c r="B113" s="23" t="inlineStr">
        <is>
          <t>Students</t>
        </is>
      </c>
      <c r="C113" s="23" t="inlineStr">
        <is>
          <t>View students count</t>
        </is>
      </c>
      <c r="D113" s="23" t="inlineStr">
        <is>
          <t>View students count</t>
        </is>
      </c>
      <c r="E113" s="23" t="inlineStr">
        <is>
          <t>Students exist</t>
        </is>
      </c>
      <c r="F113" s="23" t="inlineStr">
        <is>
          <t>1. GET /api/students/count</t>
        </is>
      </c>
      <c r="G113" s="23" t="inlineStr">
        <is>
          <t>N/A</t>
        </is>
      </c>
      <c r="H113" s="23" t="inlineStr">
        <is>
          <t>Returns correct total count matching table row count</t>
        </is>
      </c>
      <c r="I113" s="23" t="inlineStr">
        <is>
          <t>Not Run</t>
        </is>
      </c>
      <c r="J113" s="23" t="inlineStr">
        <is>
          <t>Medium</t>
        </is>
      </c>
      <c r="K113" s="23" t="inlineStr">
        <is>
          <t>Functional</t>
        </is>
      </c>
      <c r="L113" s="23" t="inlineStr">
        <is>
          <t>QA Team</t>
        </is>
      </c>
      <c r="M113" s="23" t="inlineStr"/>
      <c r="N113" s="23" t="inlineStr"/>
    </row>
    <row r="114" ht="46" customHeight="1">
      <c r="A114" s="24" t="inlineStr">
        <is>
          <t>STU-006</t>
        </is>
      </c>
      <c r="B114" s="24" t="inlineStr">
        <is>
          <t>Students</t>
        </is>
      </c>
      <c r="C114" s="24" t="inlineStr">
        <is>
          <t>Verify dynamic column sorting in students grid</t>
        </is>
      </c>
      <c r="D114" s="24" t="inlineStr">
        <is>
          <t>Multiple student records exist with varying last names.</t>
        </is>
      </c>
      <c r="E114" s="24" t="inlineStr">
        <is>
          <t>1. Click on the 'Last Name' column header once.
2. Click it a second time.</t>
        </is>
      </c>
      <c r="F114" s="24" t="inlineStr">
        <is>
          <t>Query params: ?sort=lastName,asc and ?sort=lastName,desc</t>
        </is>
      </c>
      <c r="G114" s="24" t="inlineStr">
        <is>
          <t>The grid updates to show rows in ascending order, then descending order without data corruption.</t>
        </is>
      </c>
      <c r="H114" s="24" t="inlineStr"/>
      <c r="I114" s="24" t="inlineStr">
        <is>
          <t>Not Run</t>
        </is>
      </c>
      <c r="J114" s="24" t="inlineStr">
        <is>
          <t>Meduim</t>
        </is>
      </c>
      <c r="K114" s="24" t="inlineStr">
        <is>
          <t>Functional</t>
        </is>
      </c>
      <c r="L114" s="24" t="inlineStr">
        <is>
          <t>QA Team</t>
        </is>
      </c>
      <c r="M114" s="24" t="inlineStr"/>
      <c r="N114" s="24" t="inlineStr"/>
    </row>
    <row r="115" ht="46" customHeight="1">
      <c r="A115" s="23" t="inlineStr">
        <is>
          <t>STU-007</t>
        </is>
      </c>
      <c r="B115" s="23" t="inlineStr">
        <is>
          <t>Students</t>
        </is>
      </c>
      <c r="C115" s="23" t="inlineStr">
        <is>
          <t>Verify student profile image binary stream fetch</t>
        </is>
      </c>
      <c r="D115" s="23" t="inlineStr">
        <is>
          <t>Student record has an uploaded profile picture avatar.</t>
        </is>
      </c>
      <c r="E115" s="23" t="inlineStr">
        <is>
          <t>1. Open student profile details view.
2. Observe image component loading.</t>
        </is>
      </c>
      <c r="F115" s="23" t="inlineStr">
        <is>
          <t>Student ID: 1024</t>
        </is>
      </c>
      <c r="G115" s="23" t="inlineStr">
        <is>
          <t>The endpoint returns HTTP 200 OK with Content-Type: image/jpeg and the image renders perfectly.</t>
        </is>
      </c>
      <c r="H115" s="23" t="inlineStr"/>
      <c r="I115" s="23" t="inlineStr">
        <is>
          <t>Not Run</t>
        </is>
      </c>
      <c r="J115" s="23" t="inlineStr">
        <is>
          <t>Medium</t>
        </is>
      </c>
      <c r="K115" s="23" t="inlineStr">
        <is>
          <t>Functional</t>
        </is>
      </c>
      <c r="L115" s="23" t="inlineStr">
        <is>
          <t>QA Team</t>
        </is>
      </c>
      <c r="M115" s="23" t="inlineStr"/>
      <c r="N115" s="23" t="inlineStr"/>
    </row>
    <row r="116" ht="46" customHeight="1">
      <c r="A116" s="24" t="inlineStr">
        <is>
          <t>STU-008</t>
        </is>
      </c>
      <c r="B116" s="24" t="inlineStr">
        <is>
          <t>Students</t>
        </is>
      </c>
      <c r="C116" s="24" t="inlineStr">
        <is>
          <t>Verify mass student import via CSV endpoint testing</t>
        </is>
      </c>
      <c r="D116" s="24" t="inlineStr">
        <is>
          <t>Admin user session is active.</t>
        </is>
      </c>
      <c r="E116" s="24" t="inlineStr">
        <is>
          <t>1. Upload a CSV file containing 50 valid student entries to the import endpoint.</t>
        </is>
      </c>
      <c r="F116" s="24" t="inlineStr">
        <is>
          <t>File: students_bulk.csv</t>
        </is>
      </c>
      <c r="G116" s="24" t="inlineStr">
        <is>
          <t>Server returns 201 Created with a summary JSON detailing 50 successful insertions and 0 failures.</t>
        </is>
      </c>
      <c r="H116" s="24" t="inlineStr"/>
      <c r="I116" s="24" t="inlineStr">
        <is>
          <t>Not Run</t>
        </is>
      </c>
      <c r="J116" s="24" t="inlineStr">
        <is>
          <t>High</t>
        </is>
      </c>
      <c r="K116" s="24" t="inlineStr">
        <is>
          <t>Functional</t>
        </is>
      </c>
      <c r="L116" s="24" t="inlineStr">
        <is>
          <t>QA Team</t>
        </is>
      </c>
      <c r="M116" s="24" t="inlineStr"/>
      <c r="N116" s="24" t="inlineStr"/>
    </row>
    <row r="117" ht="46" customHeight="1">
      <c r="A117" s="23" t="inlineStr">
        <is>
          <t>STU-009</t>
        </is>
      </c>
      <c r="B117" s="23" t="inlineStr">
        <is>
          <t>Students</t>
        </is>
      </c>
      <c r="C117" s="23" t="inlineStr">
        <is>
          <t>Verify response handling when database connection times out</t>
        </is>
      </c>
      <c r="D117" s="23" t="inlineStr">
        <is>
          <t>Database pool connection threshold artificially limited or delayed.</t>
        </is>
      </c>
      <c r="E117" s="23" t="inlineStr">
        <is>
          <t>1. Trigger GET /api/students during high server mock latency.</t>
        </is>
      </c>
      <c r="F117" s="23" t="inlineStr">
        <is>
          <t>N/A</t>
        </is>
      </c>
      <c r="G117" s="23" t="inlineStr">
        <is>
          <t>Returns HTTP 504 Gateway Timeout or 503 Unavailable with localized message: 'Server is busy, please try again later'.</t>
        </is>
      </c>
      <c r="H117" s="23" t="inlineStr"/>
      <c r="I117" s="23" t="inlineStr">
        <is>
          <t>Not Run</t>
        </is>
      </c>
      <c r="J117" s="23" t="inlineStr">
        <is>
          <t>High</t>
        </is>
      </c>
      <c r="K117" s="23" t="inlineStr">
        <is>
          <t>Functional</t>
        </is>
      </c>
      <c r="L117" s="23" t="inlineStr">
        <is>
          <t>QA Team</t>
        </is>
      </c>
      <c r="M117" s="23" t="inlineStr"/>
      <c r="N117" s="23" t="inlineStr"/>
    </row>
    <row r="118" ht="46" customHeight="1">
      <c r="A118" s="24" t="inlineStr">
        <is>
          <t>STU-010</t>
        </is>
      </c>
      <c r="B118" s="24" t="inlineStr">
        <is>
          <t>Students List</t>
        </is>
      </c>
      <c r="C118" s="24" t="inlineStr">
        <is>
          <t>Search wildcard handling and filtering</t>
        </is>
      </c>
      <c r="D118" s="24" t="inlineStr">
        <is>
          <t>User is authorized on the Students List panel.</t>
        </is>
      </c>
      <c r="E118" s="24" t="inlineStr">
        <is>
          <t>1. Enter '%' in the main student search bar.
2. Click search or hit Enter.</t>
        </is>
      </c>
      <c r="F118" s="24" t="inlineStr">
        <is>
          <t>Input: '%'</t>
        </is>
      </c>
      <c r="G118" s="24" t="inlineStr">
        <is>
          <t>System handles percentage symbol as a literal string or filters gracefully without any empty page or crash.</t>
        </is>
      </c>
      <c r="H118" s="24" t="inlineStr"/>
      <c r="I118" s="24" t="inlineStr">
        <is>
          <t>Not Run</t>
        </is>
      </c>
      <c r="J118" s="24" t="inlineStr">
        <is>
          <t>Medium</t>
        </is>
      </c>
      <c r="K118" s="24" t="inlineStr">
        <is>
          <t>Functional</t>
        </is>
      </c>
      <c r="L118" s="24" t="inlineStr">
        <is>
          <t>QA Team</t>
        </is>
      </c>
      <c r="M118" s="24" t="inlineStr"/>
      <c r="N118" s="24" t="inlineStr"/>
    </row>
    <row r="119" ht="46" customHeight="1">
      <c r="A119" s="23" t="inlineStr">
        <is>
          <t>STU-011</t>
        </is>
      </c>
      <c r="B119" s="23" t="inlineStr">
        <is>
          <t>Students List</t>
        </is>
      </c>
      <c r="C119" s="23" t="inlineStr">
        <is>
          <t>Verify state preservation on page browser reload</t>
        </is>
      </c>
      <c r="D119" s="23" t="inlineStr">
        <is>
          <t>Grid filtering parameter settings are modified by active choice.</t>
        </is>
      </c>
      <c r="E119" s="23" t="inlineStr">
        <is>
          <t>1. Change page index to 3.
2. Refresh the browser.</t>
        </is>
      </c>
      <c r="F119" s="23" t="inlineStr">
        <is>
          <t>N/A</t>
        </is>
      </c>
      <c r="G119" s="23" t="inlineStr">
        <is>
          <t>Page reloads at index 3 instantly, pulling identical row sets.</t>
        </is>
      </c>
      <c r="H119" s="23" t="inlineStr"/>
      <c r="I119" s="23" t="inlineStr">
        <is>
          <t>Not Run</t>
        </is>
      </c>
      <c r="J119" s="23" t="inlineStr">
        <is>
          <t>Low</t>
        </is>
      </c>
      <c r="K119" s="23" t="inlineStr">
        <is>
          <t>Functional</t>
        </is>
      </c>
      <c r="L119" s="23" t="inlineStr">
        <is>
          <t>QA Team</t>
        </is>
      </c>
      <c r="M119" s="23" t="inlineStr"/>
      <c r="N119" s="23" t="inlineStr"/>
    </row>
    <row r="120" ht="46" customHeight="1">
      <c r="A120" s="24" t="inlineStr">
        <is>
          <t>STU-012</t>
        </is>
      </c>
      <c r="B120" s="24" t="inlineStr">
        <is>
          <t>Students List</t>
        </is>
      </c>
      <c r="C120" s="24" t="inlineStr">
        <is>
          <t>Validate row select selection across pagination boundaries</t>
        </is>
      </c>
      <c r="D120" s="24" t="inlineStr">
        <is>
          <t>Multiple data items exist across separate list views.</t>
        </is>
      </c>
      <c r="E120" s="24" t="inlineStr">
        <is>
          <t>1. Select 2 students on page 1.
2. Navigate to page 2, select 1 student.
3. Return to page 1.</t>
        </is>
      </c>
      <c r="F120" s="24" t="inlineStr">
        <is>
          <t>N/A</t>
        </is>
      </c>
      <c r="G120" s="24" t="inlineStr">
        <is>
          <t>The initial checkboxes on page 1 remain checked, with total count indicating 3 records selected.</t>
        </is>
      </c>
      <c r="H120" s="24" t="inlineStr"/>
      <c r="I120" s="24" t="inlineStr">
        <is>
          <t>Not Run</t>
        </is>
      </c>
      <c r="J120" s="24" t="inlineStr">
        <is>
          <t>High</t>
        </is>
      </c>
      <c r="K120" s="24" t="inlineStr">
        <is>
          <t>Functional</t>
        </is>
      </c>
      <c r="L120" s="24" t="inlineStr">
        <is>
          <t>QA Team</t>
        </is>
      </c>
      <c r="M120" s="24" t="inlineStr"/>
      <c r="N120" s="24" t="inlineStr"/>
    </row>
    <row r="121" ht="46" customHeight="1">
      <c r="A121" s="23" t="inlineStr">
        <is>
          <t>STU-013</t>
        </is>
      </c>
      <c r="B121" s="23" t="inlineStr">
        <is>
          <t>Students List</t>
        </is>
      </c>
      <c r="C121" s="23" t="inlineStr">
        <is>
          <t>Verify grid skeleton loading during slow API handshakes</t>
        </is>
      </c>
      <c r="D121" s="23" t="inlineStr">
        <is>
          <t>Network throttling is simulated via browser profile adjustments.</t>
        </is>
      </c>
      <c r="E121" s="23" t="inlineStr">
        <is>
          <t>1. Force request latency to 6000ms.
2. Access the students list link view.</t>
        </is>
      </c>
      <c r="F121" s="23" t="inlineStr">
        <is>
          <t>Simulated network throttle</t>
        </is>
      </c>
      <c r="G121" s="23" t="inlineStr">
        <is>
          <t>A clean gray skeleton outline layout appears until data replaces the loading state smoothly.</t>
        </is>
      </c>
      <c r="H121" s="23" t="inlineStr"/>
      <c r="I121" s="23" t="inlineStr">
        <is>
          <t>Not Run</t>
        </is>
      </c>
      <c r="J121" s="23" t="inlineStr">
        <is>
          <t>Medium</t>
        </is>
      </c>
      <c r="K121" s="23" t="inlineStr">
        <is>
          <t>Functional</t>
        </is>
      </c>
      <c r="L121" s="23" t="inlineStr">
        <is>
          <t>QA Team</t>
        </is>
      </c>
      <c r="M121" s="23" t="inlineStr"/>
      <c r="N121" s="23" t="inlineStr"/>
    </row>
    <row r="122" ht="46" customHeight="1">
      <c r="A122" s="24" t="inlineStr">
        <is>
          <t>STU-014</t>
        </is>
      </c>
      <c r="B122" s="24" t="inlineStr">
        <is>
          <t>Students List</t>
        </is>
      </c>
      <c r="C122" s="24" t="inlineStr">
        <is>
          <t>Verify grid columns dynamic header resizing logic</t>
        </is>
      </c>
      <c r="D122" s="24" t="inlineStr">
        <is>
          <t>Student records with very long compound surnames exist in DB.</t>
        </is>
      </c>
      <c r="E122" s="24" t="inlineStr">
        <is>
          <t>1. View student list row items.
2. Look at longest text rows.</t>
        </is>
      </c>
      <c r="F122" s="24" t="inlineStr">
        <is>
          <t>Name: 'Abdul-Rahman Al-Hassan Al-Saddiqi'</t>
        </is>
      </c>
      <c r="G122" s="24" t="inlineStr">
        <is>
          <t>The content wraps perfectly into double lines without overflowing or breaking adjacent border lines.</t>
        </is>
      </c>
      <c r="H122" s="24" t="inlineStr"/>
      <c r="I122" s="24" t="inlineStr">
        <is>
          <t>Not Run</t>
        </is>
      </c>
      <c r="J122" s="24" t="inlineStr">
        <is>
          <t>Low</t>
        </is>
      </c>
      <c r="K122" s="24" t="inlineStr">
        <is>
          <t>Functional</t>
        </is>
      </c>
      <c r="L122" s="24" t="inlineStr">
        <is>
          <t>QA Team</t>
        </is>
      </c>
      <c r="M122" s="24" t="inlineStr"/>
      <c r="N122" s="24" t="inlineStr"/>
    </row>
    <row r="123" ht="46" customHeight="1">
      <c r="A123" s="23" t="inlineStr">
        <is>
          <t>STU-015</t>
        </is>
      </c>
      <c r="B123" s="23" t="inlineStr">
        <is>
          <t>Students List</t>
        </is>
      </c>
      <c r="C123" s="23" t="inlineStr">
        <is>
          <t>Route smoke test</t>
        </is>
      </c>
      <c r="D123" s="23" t="inlineStr">
        <is>
          <t>Development server running</t>
        </is>
      </c>
      <c r="E123" s="23" t="inlineStr">
        <is>
          <t>Open the implemented route on localhost:4200</t>
        </is>
      </c>
      <c r="F123" s="23" t="inlineStr">
        <is>
          <t>See steps</t>
        </is>
      </c>
      <c r="G123" s="23" t="inlineStr">
        <is>
          <t>The Angular route resolves without a 404.</t>
        </is>
      </c>
      <c r="H123" s="23" t="inlineStr">
        <is>
          <t>Not executed: requires isolated test data, credentials, or controlled API failure.</t>
        </is>
      </c>
      <c r="I123" s="23" t="inlineStr">
        <is>
          <t>Not Run</t>
        </is>
      </c>
      <c r="J123" s="23" t="inlineStr">
        <is>
          <t>Medium</t>
        </is>
      </c>
      <c r="K123" s="23" t="inlineStr">
        <is>
          <t>Functional</t>
        </is>
      </c>
      <c r="L123" s="23" t="inlineStr">
        <is>
          <t>Codex QA</t>
        </is>
      </c>
      <c r="M123" s="23" t="inlineStr">
        <is>
          <t>2026-07-20</t>
        </is>
      </c>
      <c r="N123" s="23" t="inlineStr">
        <is>
          <t>Designed from the implemented UI and service contract.</t>
        </is>
      </c>
    </row>
    <row r="124" ht="46" customHeight="1">
      <c r="A124" s="24" t="inlineStr">
        <is>
          <t>STU-016</t>
        </is>
      </c>
      <c r="B124" s="24" t="inlineStr">
        <is>
          <t>Students List</t>
        </is>
      </c>
      <c r="C124" s="24" t="inlineStr">
        <is>
          <t>Read-only API availability</t>
        </is>
      </c>
      <c r="D124" s="24" t="inlineStr">
        <is>
          <t>Local API at localhost:8080</t>
        </is>
      </c>
      <c r="E124" s="24" t="inlineStr">
        <is>
          <t>Load page with the local API running</t>
        </is>
      </c>
      <c r="F124" s="24" t="inlineStr">
        <is>
          <t>See steps</t>
        </is>
      </c>
      <c r="G124" s="24" t="inlineStr">
        <is>
          <t>Read-only data requests complete or a user-visible error is shown.</t>
        </is>
      </c>
      <c r="H124" s="24" t="inlineStr">
        <is>
          <t>Not executed: requires isolated test data, credentials, or controlled API failure.</t>
        </is>
      </c>
      <c r="I124" s="24" t="inlineStr">
        <is>
          <t>Not Run</t>
        </is>
      </c>
      <c r="J124" s="24" t="inlineStr">
        <is>
          <t>Medium</t>
        </is>
      </c>
      <c r="K124" s="24" t="inlineStr">
        <is>
          <t>Functional</t>
        </is>
      </c>
      <c r="L124" s="24" t="inlineStr">
        <is>
          <t>Codex QA</t>
        </is>
      </c>
      <c r="M124" s="24" t="inlineStr">
        <is>
          <t>2026-07-20</t>
        </is>
      </c>
      <c r="N124" s="24" t="inlineStr">
        <is>
          <t>Designed from the implemented UI and service contract.</t>
        </is>
      </c>
    </row>
    <row r="125" ht="46" customHeight="1">
      <c r="A125" s="23" t="inlineStr">
        <is>
          <t>STU-017</t>
        </is>
      </c>
      <c r="B125" s="23" t="inlineStr">
        <is>
          <t>Students List</t>
        </is>
      </c>
      <c r="C125" s="23" t="inlineStr">
        <is>
          <t>Data-changing regression</t>
        </is>
      </c>
      <c r="D125" s="23" t="inlineStr">
        <is>
          <t>Dedicated test database and account</t>
        </is>
      </c>
      <c r="E125" s="23" t="inlineStr">
        <is>
          <t>Create, edit, or delete a record using an isolated test account</t>
        </is>
      </c>
      <c r="F125" s="23" t="inlineStr">
        <is>
          <t>See steps</t>
        </is>
      </c>
      <c r="G125" s="23" t="inlineStr">
        <is>
          <t>Only the test record is changed and can be cleaned up.</t>
        </is>
      </c>
      <c r="H125" s="23" t="inlineStr">
        <is>
          <t>Not executed: requires isolated test data, credentials, or controlled API failure.</t>
        </is>
      </c>
      <c r="I125" s="23" t="inlineStr">
        <is>
          <t>Not Run</t>
        </is>
      </c>
      <c r="J125" s="23" t="inlineStr">
        <is>
          <t>Medium</t>
        </is>
      </c>
      <c r="K125" s="23" t="inlineStr">
        <is>
          <t>Functional</t>
        </is>
      </c>
      <c r="L125" s="23" t="inlineStr">
        <is>
          <t>Codex QA</t>
        </is>
      </c>
      <c r="M125" s="23" t="inlineStr">
        <is>
          <t>2026-07-20</t>
        </is>
      </c>
      <c r="N125" s="23" t="inlineStr">
        <is>
          <t>Designed from the implemented UI and service contract.</t>
        </is>
      </c>
    </row>
    <row r="126" ht="46" customHeight="1">
      <c r="A126" s="24" t="inlineStr">
        <is>
          <t>STU-001</t>
        </is>
      </c>
      <c r="B126" s="24" t="inlineStr">
        <is>
          <t>Student Details</t>
        </is>
      </c>
      <c r="C126" s="24" t="inlineStr">
        <is>
          <t>Verify student data loading</t>
        </is>
      </c>
      <c r="D126" s="24" t="inlineStr">
        <is>
          <t>User is logged in and student exists in database.</t>
        </is>
      </c>
      <c r="E126" s="24" t="inlineStr">
        <is>
          <t>1. Navigate to Student List.
2. Click on a specific student record.</t>
        </is>
      </c>
      <c r="F126" s="24" t="inlineStr">
        <is>
          <t>Student ID: 1024</t>
        </is>
      </c>
      <c r="G126" s="24" t="inlineStr">
        <is>
          <t>Page opens successfully, displaying full name, ID, email, and enrolled training program.</t>
        </is>
      </c>
      <c r="H126" s="24" t="inlineStr"/>
      <c r="I126" s="24" t="inlineStr">
        <is>
          <t>Passed</t>
        </is>
      </c>
      <c r="J126" s="24" t="inlineStr">
        <is>
          <t>High</t>
        </is>
      </c>
      <c r="K126" s="24" t="inlineStr">
        <is>
          <t>Functional</t>
        </is>
      </c>
      <c r="L126" s="24" t="inlineStr">
        <is>
          <t>QA Team</t>
        </is>
      </c>
      <c r="M126" s="24" t="inlineStr"/>
      <c r="N126" s="24" t="inlineStr"/>
    </row>
    <row r="127" ht="46" customHeight="1">
      <c r="A127" s="23" t="inlineStr">
        <is>
          <t>STU-002</t>
        </is>
      </c>
      <c r="B127" s="23" t="inlineStr">
        <is>
          <t>Student Details</t>
        </is>
      </c>
      <c r="C127" s="23" t="inlineStr">
        <is>
          <t>Invalid Student ID Handling</t>
        </is>
      </c>
      <c r="D127" s="23" t="inlineStr">
        <is>
          <t>User is logged in.</t>
        </is>
      </c>
      <c r="E127" s="23" t="inlineStr">
        <is>
          <t>1. Enter direct URL with non-existent ID (e.g., /student/9999).</t>
        </is>
      </c>
      <c r="F127" s="23" t="inlineStr">
        <is>
          <t>URL ID: 9999</t>
        </is>
      </c>
      <c r="G127" s="23" t="inlineStr">
        <is>
          <t>System displays a clear message: 'Student not found or has been deleted' with a back button.</t>
        </is>
      </c>
      <c r="H127" s="23" t="inlineStr"/>
      <c r="I127" s="23" t="inlineStr">
        <is>
          <t>Passed</t>
        </is>
      </c>
      <c r="J127" s="23" t="inlineStr">
        <is>
          <t>Medium</t>
        </is>
      </c>
      <c r="K127" s="23" t="inlineStr">
        <is>
          <t>Functional</t>
        </is>
      </c>
      <c r="L127" s="23" t="inlineStr">
        <is>
          <t>QA Team</t>
        </is>
      </c>
      <c r="M127" s="23" t="inlineStr"/>
      <c r="N127" s="23" t="inlineStr"/>
    </row>
    <row r="128" ht="46" customHeight="1">
      <c r="A128" s="24" t="inlineStr">
        <is>
          <t>STU-003</t>
        </is>
      </c>
      <c r="B128" s="24" t="inlineStr">
        <is>
          <t>Student Details</t>
        </is>
      </c>
      <c r="C128" s="24" t="inlineStr">
        <is>
          <t>Responsiveness Check</t>
        </is>
      </c>
      <c r="D128" s="24" t="inlineStr">
        <is>
          <t>User has access to browser developer tools.</t>
        </is>
      </c>
      <c r="E128" s="24" t="inlineStr">
        <is>
          <t>1. Open Student Details page.
2. Shrink window size to mobile and tablet resolutions.</t>
        </is>
      </c>
      <c r="F128" s="24" t="inlineStr">
        <is>
          <t>N/A</t>
        </is>
      </c>
      <c r="G128" s="24" t="inlineStr">
        <is>
          <t>Layout adjusts seamlessly. Text remains readable and buttons are fully clickable.</t>
        </is>
      </c>
      <c r="H128" s="24" t="inlineStr"/>
      <c r="I128" s="24" t="inlineStr">
        <is>
          <t>Passed</t>
        </is>
      </c>
      <c r="J128" s="24" t="inlineStr">
        <is>
          <t>Low</t>
        </is>
      </c>
      <c r="K128" s="24" t="inlineStr">
        <is>
          <t>Functional</t>
        </is>
      </c>
      <c r="L128" s="24" t="inlineStr">
        <is>
          <t>QA Team</t>
        </is>
      </c>
      <c r="M128" s="24" t="inlineStr"/>
      <c r="N128" s="24" t="inlineStr"/>
    </row>
    <row r="129" ht="46" customHeight="1">
      <c r="A129" s="23" t="inlineStr">
        <is>
          <t>STU-004</t>
        </is>
      </c>
      <c r="B129" s="23" t="inlineStr">
        <is>
          <t>Student Details</t>
        </is>
      </c>
      <c r="C129" s="23" t="inlineStr">
        <is>
          <t>Unauthorized Access Prevention</t>
        </is>
      </c>
      <c r="D129" s="23" t="inlineStr">
        <is>
          <t>User is not logged into the system.</t>
        </is>
      </c>
      <c r="E129" s="23" t="inlineStr">
        <is>
          <t>1. Clear cookies/session.
2. Paste direct student details URL into the address bar.</t>
        </is>
      </c>
      <c r="F129" s="23" t="inlineStr">
        <is>
          <t>URL: /student/1024</t>
        </is>
      </c>
      <c r="G129" s="23" t="inlineStr">
        <is>
          <t>System redirects the user to the Login page and blocks access to any student data.</t>
        </is>
      </c>
      <c r="H129" s="23" t="inlineStr"/>
      <c r="I129" s="23" t="inlineStr">
        <is>
          <t>Passed</t>
        </is>
      </c>
      <c r="J129" s="23" t="inlineStr">
        <is>
          <t>High</t>
        </is>
      </c>
      <c r="K129" s="23" t="inlineStr">
        <is>
          <t>Functional</t>
        </is>
      </c>
      <c r="L129" s="23" t="inlineStr">
        <is>
          <t>QA Team</t>
        </is>
      </c>
      <c r="M129" s="23" t="inlineStr"/>
      <c r="N129" s="23" t="inlineStr"/>
    </row>
    <row r="130" ht="46" customHeight="1">
      <c r="A130" s="24" t="inlineStr">
        <is>
          <t>STU-005</t>
        </is>
      </c>
      <c r="B130" s="24" t="inlineStr">
        <is>
          <t>Student Details</t>
        </is>
      </c>
      <c r="C130" s="24" t="inlineStr">
        <is>
          <t>Verify Action Buttons Navigation</t>
        </is>
      </c>
      <c r="D130" s="24" t="inlineStr">
        <is>
          <t>User is logged in with Admin rights.</t>
        </is>
      </c>
      <c r="E130" s="24" t="inlineStr">
        <is>
          <t>1. Open Student Details page.
2. Click on 'Edit Details' button.
3. Go back and click 'Delete'.</t>
        </is>
      </c>
      <c r="F130" s="24" t="inlineStr">
        <is>
          <t>N/A</t>
        </is>
      </c>
      <c r="G130" s="24" t="inlineStr">
        <is>
          <t>'Edit' opens the correct form, and 'Delete' triggers a confirmation pop-up modal.</t>
        </is>
      </c>
      <c r="H130" s="24" t="inlineStr"/>
      <c r="I130" s="24" t="inlineStr">
        <is>
          <t>Passed</t>
        </is>
      </c>
      <c r="J130" s="24" t="inlineStr">
        <is>
          <t>High</t>
        </is>
      </c>
      <c r="K130" s="24" t="inlineStr">
        <is>
          <t>Functional</t>
        </is>
      </c>
      <c r="L130" s="24" t="inlineStr">
        <is>
          <t>QA Team</t>
        </is>
      </c>
      <c r="M130" s="24" t="inlineStr"/>
      <c r="N130" s="24" t="inlineStr"/>
    </row>
    <row r="131" ht="46" customHeight="1">
      <c r="A131" s="23" t="inlineStr">
        <is>
          <t>STU-006</t>
        </is>
      </c>
      <c r="B131" s="23" t="inlineStr">
        <is>
          <t>Student Details</t>
        </is>
      </c>
      <c r="C131" s="23" t="inlineStr">
        <is>
          <t>Special Characters in Name Display</t>
        </is>
      </c>
      <c r="D131" s="23" t="inlineStr">
        <is>
          <t>A student record exists with special characters in the database.</t>
        </is>
      </c>
      <c r="E131" s="23" t="inlineStr">
        <is>
          <t>1. Open details for student named 'Chloé O'Connor-Alves'.</t>
        </is>
      </c>
      <c r="F131" s="23" t="inlineStr">
        <is>
          <t>Student Name: Chloé O'Connor-Alves</t>
        </is>
      </c>
      <c r="G131" s="23" t="inlineStr">
        <is>
          <t>The text renders flawlessly without any broken encoding symbols or weird characters.</t>
        </is>
      </c>
      <c r="H131" s="23" t="inlineStr"/>
      <c r="I131" s="23" t="inlineStr">
        <is>
          <t>Passed</t>
        </is>
      </c>
      <c r="J131" s="23" t="inlineStr">
        <is>
          <t>Medium</t>
        </is>
      </c>
      <c r="K131" s="23" t="inlineStr">
        <is>
          <t>Functional</t>
        </is>
      </c>
      <c r="L131" s="23" t="inlineStr">
        <is>
          <t>QA Team</t>
        </is>
      </c>
      <c r="M131" s="23" t="inlineStr"/>
      <c r="N131" s="23" t="inlineStr"/>
    </row>
    <row r="132" ht="46" customHeight="1">
      <c r="A132" s="24" t="inlineStr">
        <is>
          <t>STU-007</t>
        </is>
      </c>
      <c r="B132" s="24" t="inlineStr">
        <is>
          <t>Student Details</t>
        </is>
      </c>
      <c r="C132" s="24" t="inlineStr">
        <is>
          <t>Validate numeric payload boundary handling</t>
        </is>
      </c>
      <c r="D132" s="24" t="inlineStr">
        <is>
          <t>Student profile target data contains edge case numerical parameters.</t>
        </is>
      </c>
      <c r="E132" s="24" t="inlineStr">
        <is>
          <t>1. Open details view link for student record.</t>
        </is>
      </c>
      <c r="F132" s="24" t="inlineStr">
        <is>
          <t>GPA Score parameter: 4.00 / 4.00</t>
        </is>
      </c>
      <c r="G132" s="24" t="inlineStr">
        <is>
          <t>UI components process maximum grades smoothly with clean structural alignment.</t>
        </is>
      </c>
      <c r="H132" s="24" t="inlineStr"/>
      <c r="I132" s="24" t="inlineStr">
        <is>
          <t>Not Run</t>
        </is>
      </c>
      <c r="J132" s="24" t="inlineStr">
        <is>
          <t>High</t>
        </is>
      </c>
      <c r="K132" s="24" t="inlineStr">
        <is>
          <t>Functional</t>
        </is>
      </c>
      <c r="L132" s="24" t="inlineStr">
        <is>
          <t>QA Team</t>
        </is>
      </c>
      <c r="M132" s="24" t="inlineStr"/>
      <c r="N132" s="24" t="inlineStr"/>
    </row>
    <row r="133" ht="46" customHeight="1">
      <c r="A133" s="23" t="inlineStr">
        <is>
          <t>STU-008</t>
        </is>
      </c>
      <c r="B133" s="23" t="inlineStr">
        <is>
          <t>Student Details</t>
        </is>
      </c>
      <c r="C133" s="23" t="inlineStr">
        <is>
          <t>Verify back navigation cache retention state</t>
        </is>
      </c>
      <c r="D133" s="23" t="inlineStr">
        <is>
          <t>User reached details page from deep nested filter configurations.</t>
        </is>
      </c>
      <c r="E133" s="23" t="inlineStr">
        <is>
          <t>1. Click the 'Back' navigation button component layout.</t>
        </is>
      </c>
      <c r="F133" s="23" t="inlineStr">
        <is>
          <t>N/A</t>
        </is>
      </c>
      <c r="G133" s="23" t="inlineStr">
        <is>
          <t>User returns to the main list with their previous search criteria and row page location preserved.</t>
        </is>
      </c>
      <c r="H133" s="23" t="inlineStr"/>
      <c r="I133" s="23" t="inlineStr">
        <is>
          <t>Not Run</t>
        </is>
      </c>
      <c r="J133" s="23" t="inlineStr">
        <is>
          <t>Medium</t>
        </is>
      </c>
      <c r="K133" s="23" t="inlineStr">
        <is>
          <t>Functional</t>
        </is>
      </c>
      <c r="L133" s="23" t="inlineStr">
        <is>
          <t>QA Team</t>
        </is>
      </c>
      <c r="M133" s="23" t="inlineStr"/>
      <c r="N133" s="23" t="inlineStr"/>
    </row>
    <row r="134" ht="46" customHeight="1">
      <c r="A134" s="24" t="inlineStr">
        <is>
          <t>STU-009</t>
        </is>
      </c>
      <c r="B134" s="24" t="inlineStr">
        <is>
          <t>Student Details</t>
        </is>
      </c>
      <c r="C134" s="24" t="inlineStr">
        <is>
          <t>Validate document attachment view modal limits</t>
        </is>
      </c>
      <c r="D134" s="24" t="inlineStr">
        <is>
          <t>An attachment asset binary exists tied to profile files.</t>
        </is>
      </c>
      <c r="E134" s="24" t="inlineStr">
        <is>
          <t>1. Click the preview document icon.</t>
        </is>
      </c>
      <c r="F134" s="24" t="inlineStr">
        <is>
          <t>File element: certification.pdf</t>
        </is>
      </c>
      <c r="G134" s="24" t="inlineStr">
        <is>
          <t>An inner lightbox modal viewport frame displays a clean render of the PDF file instantly.</t>
        </is>
      </c>
      <c r="H134" s="24" t="inlineStr"/>
      <c r="I134" s="24" t="inlineStr">
        <is>
          <t>Not Run</t>
        </is>
      </c>
      <c r="J134" s="24" t="inlineStr">
        <is>
          <t>Low</t>
        </is>
      </c>
      <c r="K134" s="24" t="inlineStr">
        <is>
          <t>Functional</t>
        </is>
      </c>
      <c r="L134" s="24" t="inlineStr">
        <is>
          <t>QA Team</t>
        </is>
      </c>
      <c r="M134" s="24" t="inlineStr"/>
      <c r="N134" s="24" t="inlineStr"/>
    </row>
    <row r="135" ht="46" customHeight="1">
      <c r="A135" s="23" t="inlineStr">
        <is>
          <t>STU-010</t>
        </is>
      </c>
      <c r="B135" s="23" t="inlineStr">
        <is>
          <t>Student Details</t>
        </is>
      </c>
      <c r="C135" s="23" t="inlineStr">
        <is>
          <t>Verify data field dynamic updating via WebSockets</t>
        </is>
      </c>
      <c r="D135" s="23" t="inlineStr">
        <is>
          <t>Simultaneous active login sessions on same target ID.</t>
        </is>
      </c>
      <c r="E135" s="23" t="inlineStr">
        <is>
          <t>1. Admin A opens details.
2. Admin B updates target phone parameters from a separate machine.</t>
        </is>
      </c>
      <c r="F135" s="23" t="inlineStr">
        <is>
          <t>Phone: +201000000000</t>
        </is>
      </c>
      <c r="G135" s="23" t="inlineStr">
        <is>
          <t>Admin A's open view field flashes slightly and reflects the brand new number parameters without page reloads.</t>
        </is>
      </c>
      <c r="H135" s="23" t="inlineStr"/>
      <c r="I135" s="23" t="inlineStr">
        <is>
          <t>Not Run</t>
        </is>
      </c>
      <c r="J135" s="23" t="inlineStr">
        <is>
          <t>Medium</t>
        </is>
      </c>
      <c r="K135" s="23" t="inlineStr">
        <is>
          <t>Functional</t>
        </is>
      </c>
      <c r="L135" s="23" t="inlineStr">
        <is>
          <t>QA Team</t>
        </is>
      </c>
      <c r="M135" s="23" t="inlineStr"/>
      <c r="N135" s="23" t="inlineStr"/>
    </row>
    <row r="136" ht="46" customHeight="1">
      <c r="A136" s="24" t="inlineStr">
        <is>
          <t>STU-011</t>
        </is>
      </c>
      <c r="B136" s="24" t="inlineStr">
        <is>
          <t>Student Details</t>
        </is>
      </c>
      <c r="C136" s="24" t="inlineStr">
        <is>
          <t>Validate non-ASCII rendering limits for deep attachments</t>
        </is>
      </c>
      <c r="D136" s="24" t="inlineStr">
        <is>
          <t>Student profile contains documents with Arabic localized names.</t>
        </is>
      </c>
      <c r="E136" s="24" t="inlineStr">
        <is>
          <t>1. Click download on attachment item.</t>
        </is>
      </c>
      <c r="F136" s="24" t="inlineStr">
        <is>
          <t>Filename: 'شهادة_التخرج.pdf'</t>
        </is>
      </c>
      <c r="G136" s="24" t="inlineStr">
        <is>
          <t>File downloads cleanly with the precise Arabic text preserved without conversion errors.</t>
        </is>
      </c>
      <c r="H136" s="24" t="inlineStr"/>
      <c r="I136" s="24" t="inlineStr">
        <is>
          <t>Not Run</t>
        </is>
      </c>
      <c r="J136" s="24" t="inlineStr">
        <is>
          <t>High</t>
        </is>
      </c>
      <c r="K136" s="24" t="inlineStr">
        <is>
          <t>Functional</t>
        </is>
      </c>
      <c r="L136" s="24" t="inlineStr">
        <is>
          <t>QA Team</t>
        </is>
      </c>
      <c r="M136" s="24" t="inlineStr"/>
      <c r="N136" s="24" t="inlineStr"/>
    </row>
    <row r="137" ht="46" customHeight="1">
      <c r="A137" s="23" t="inlineStr">
        <is>
          <t>STU-012</t>
        </is>
      </c>
      <c r="B137" s="23" t="inlineStr">
        <is>
          <t>Student Details</t>
        </is>
      </c>
      <c r="C137" s="23" t="inlineStr">
        <is>
          <t>Route smoke test</t>
        </is>
      </c>
      <c r="D137" s="23" t="inlineStr">
        <is>
          <t>Development server running</t>
        </is>
      </c>
      <c r="E137" s="23" t="inlineStr">
        <is>
          <t>Open the implemented route on localhost:4200</t>
        </is>
      </c>
      <c r="F137" s="23" t="inlineStr">
        <is>
          <t>See steps</t>
        </is>
      </c>
      <c r="G137" s="23" t="inlineStr">
        <is>
          <t>The Angular route resolves without a 404.</t>
        </is>
      </c>
      <c r="H137" s="23" t="inlineStr">
        <is>
          <t>Not executed: requires isolated test data, credentials, or controlled API failure.</t>
        </is>
      </c>
      <c r="I137" s="23" t="inlineStr">
        <is>
          <t>Not Run</t>
        </is>
      </c>
      <c r="J137" s="23" t="inlineStr">
        <is>
          <t>Medium</t>
        </is>
      </c>
      <c r="K137" s="23" t="inlineStr">
        <is>
          <t>Functional</t>
        </is>
      </c>
      <c r="L137" s="23" t="inlineStr">
        <is>
          <t>Codex QA</t>
        </is>
      </c>
      <c r="M137" s="23" t="inlineStr">
        <is>
          <t>2026-07-20</t>
        </is>
      </c>
      <c r="N137" s="23" t="inlineStr">
        <is>
          <t>Designed from the implemented UI and service contract.</t>
        </is>
      </c>
    </row>
    <row r="138" ht="46" customHeight="1">
      <c r="A138" s="24" t="inlineStr">
        <is>
          <t>STU-013</t>
        </is>
      </c>
      <c r="B138" s="24" t="inlineStr">
        <is>
          <t>Student Details</t>
        </is>
      </c>
      <c r="C138" s="24" t="inlineStr">
        <is>
          <t>Read-only API availability</t>
        </is>
      </c>
      <c r="D138" s="24" t="inlineStr">
        <is>
          <t>Local API at localhost:8080</t>
        </is>
      </c>
      <c r="E138" s="24" t="inlineStr">
        <is>
          <t>Load page with the local API running</t>
        </is>
      </c>
      <c r="F138" s="24" t="inlineStr">
        <is>
          <t>See steps</t>
        </is>
      </c>
      <c r="G138" s="24" t="inlineStr">
        <is>
          <t>Read-only data requests complete or a user-visible error is shown.</t>
        </is>
      </c>
      <c r="H138" s="24" t="inlineStr">
        <is>
          <t>Not executed: requires isolated test data, credentials, or controlled API failure.</t>
        </is>
      </c>
      <c r="I138" s="24" t="inlineStr">
        <is>
          <t>Not Run</t>
        </is>
      </c>
      <c r="J138" s="24" t="inlineStr">
        <is>
          <t>Medium</t>
        </is>
      </c>
      <c r="K138" s="24" t="inlineStr">
        <is>
          <t>Functional</t>
        </is>
      </c>
      <c r="L138" s="24" t="inlineStr">
        <is>
          <t>Codex QA</t>
        </is>
      </c>
      <c r="M138" s="24" t="inlineStr">
        <is>
          <t>2026-07-20</t>
        </is>
      </c>
      <c r="N138" s="24" t="inlineStr">
        <is>
          <t>Designed from the implemented UI and service contract.</t>
        </is>
      </c>
    </row>
    <row r="139" ht="46" customHeight="1">
      <c r="A139" s="23" t="inlineStr">
        <is>
          <t>STU-014</t>
        </is>
      </c>
      <c r="B139" s="23" t="inlineStr">
        <is>
          <t>Student Details</t>
        </is>
      </c>
      <c r="C139" s="23" t="inlineStr">
        <is>
          <t>Data-changing regression</t>
        </is>
      </c>
      <c r="D139" s="23" t="inlineStr">
        <is>
          <t>Dedicated test database and account</t>
        </is>
      </c>
      <c r="E139" s="23" t="inlineStr">
        <is>
          <t>Create, edit, or delete a record using an isolated test account</t>
        </is>
      </c>
      <c r="F139" s="23" t="inlineStr">
        <is>
          <t>See steps</t>
        </is>
      </c>
      <c r="G139" s="23" t="inlineStr">
        <is>
          <t>Only the test record is changed and can be cleaned up.</t>
        </is>
      </c>
      <c r="H139" s="23" t="inlineStr">
        <is>
          <t>Not executed: requires isolated test data, credentials, or controlled API failure.</t>
        </is>
      </c>
      <c r="I139" s="23" t="inlineStr">
        <is>
          <t>Not Run</t>
        </is>
      </c>
      <c r="J139" s="23" t="inlineStr">
        <is>
          <t>Medium</t>
        </is>
      </c>
      <c r="K139" s="23" t="inlineStr">
        <is>
          <t>Functional</t>
        </is>
      </c>
      <c r="L139" s="23" t="inlineStr">
        <is>
          <t>Codex QA</t>
        </is>
      </c>
      <c r="M139" s="23" t="inlineStr">
        <is>
          <t>2026-07-20</t>
        </is>
      </c>
      <c r="N139" s="23" t="inlineStr">
        <is>
          <t>Designed from the implemented UI and service contract.</t>
        </is>
      </c>
    </row>
    <row r="140" ht="46" customHeight="1">
      <c r="A140" s="24" t="inlineStr">
        <is>
          <t>REP-001</t>
        </is>
      </c>
      <c r="B140" s="24" t="inlineStr">
        <is>
          <t>Reports List</t>
        </is>
      </c>
      <c r="C140" s="24" t="inlineStr">
        <is>
          <t>Verify list population and sorting</t>
        </is>
      </c>
      <c r="D140" s="24" t="inlineStr">
        <is>
          <t>Reports exist in the database.</t>
        </is>
      </c>
      <c r="E140" s="24" t="inlineStr">
        <is>
          <t>1. Navigate to 'Reports List' from the main dashboard.</t>
        </is>
      </c>
      <c r="F140" s="24" t="inlineStr">
        <is>
          <t>N/A</t>
        </is>
      </c>
      <c r="G140" s="24" t="inlineStr">
        <is>
          <t>Table displays all available reports, sorted dynamically from newest to oldest.</t>
        </is>
      </c>
      <c r="H140" s="24" t="inlineStr"/>
      <c r="I140" s="24" t="inlineStr">
        <is>
          <t>Passed</t>
        </is>
      </c>
      <c r="J140" s="24" t="inlineStr">
        <is>
          <t>High</t>
        </is>
      </c>
      <c r="K140" s="24" t="inlineStr">
        <is>
          <t>Functional</t>
        </is>
      </c>
      <c r="L140" s="24" t="inlineStr">
        <is>
          <t>QA Team</t>
        </is>
      </c>
      <c r="M140" s="24" t="inlineStr"/>
      <c r="N140" s="24" t="inlineStr"/>
    </row>
    <row r="141" ht="46" customHeight="1">
      <c r="A141" s="23" t="inlineStr">
        <is>
          <t>REP-002</t>
        </is>
      </c>
      <c r="B141" s="23" t="inlineStr">
        <is>
          <t>Reports List</t>
        </is>
      </c>
      <c r="C141" s="23" t="inlineStr">
        <is>
          <t>Filter and Search Functionality</t>
        </is>
      </c>
      <c r="D141" s="23" t="inlineStr">
        <is>
          <t>Multiple reports of different types exist.</t>
        </is>
      </c>
      <c r="E141" s="23" t="inlineStr">
        <is>
          <t>1. Select Report Type: 'Excel'.
2. Type specific keyword in search bar.</t>
        </is>
      </c>
      <c r="F141" s="23" t="inlineStr">
        <is>
          <t>Type: Excel, Keyword: 'Q2_Attendance'</t>
        </is>
      </c>
      <c r="G141" s="23" t="inlineStr">
        <is>
          <t>Table updates dynamically to show only Excel reports matching 'Q2_Attendance'.</t>
        </is>
      </c>
      <c r="H141" s="23" t="inlineStr"/>
      <c r="I141" s="23" t="inlineStr">
        <is>
          <t>Passed</t>
        </is>
      </c>
      <c r="J141" s="23" t="inlineStr">
        <is>
          <t>High</t>
        </is>
      </c>
      <c r="K141" s="23" t="inlineStr">
        <is>
          <t>Functional</t>
        </is>
      </c>
      <c r="L141" s="23" t="inlineStr">
        <is>
          <t>QA Team</t>
        </is>
      </c>
      <c r="M141" s="23" t="inlineStr"/>
      <c r="N141" s="23" t="inlineStr"/>
    </row>
    <row r="142" ht="46" customHeight="1">
      <c r="A142" s="24" t="inlineStr">
        <is>
          <t>REP-003</t>
        </is>
      </c>
      <c r="B142" s="24" t="inlineStr">
        <is>
          <t>Reports List</t>
        </is>
      </c>
      <c r="C142" s="24" t="inlineStr">
        <is>
          <t>Export and Download Format</t>
        </is>
      </c>
      <c r="D142" s="24" t="inlineStr">
        <is>
          <t>User is on the Reports List tab.</t>
        </is>
      </c>
      <c r="E142" s="24" t="inlineStr">
        <is>
          <t>1. Click the 'Download PDF' icon next to any report.</t>
        </is>
      </c>
      <c r="F142" s="24" t="inlineStr">
        <is>
          <t>Report ID: 45</t>
        </is>
      </c>
      <c r="G142" s="24" t="inlineStr">
        <is>
          <t>File downloads successfully and Arabic/English text renders correctly without corruption.</t>
        </is>
      </c>
      <c r="H142" s="24" t="inlineStr"/>
      <c r="I142" s="24" t="inlineStr">
        <is>
          <t>Passed</t>
        </is>
      </c>
      <c r="J142" s="24" t="inlineStr">
        <is>
          <t>High</t>
        </is>
      </c>
      <c r="K142" s="24" t="inlineStr">
        <is>
          <t>Functional</t>
        </is>
      </c>
      <c r="L142" s="24" t="inlineStr">
        <is>
          <t>QA Team</t>
        </is>
      </c>
      <c r="M142" s="24" t="inlineStr"/>
      <c r="N142" s="24" t="inlineStr"/>
    </row>
    <row r="143" ht="46" customHeight="1">
      <c r="A143" s="23" t="inlineStr">
        <is>
          <t>REP-004</t>
        </is>
      </c>
      <c r="B143" s="23" t="inlineStr">
        <is>
          <t>Reports List</t>
        </is>
      </c>
      <c r="C143" s="23" t="inlineStr">
        <is>
          <t>Empty State Handling</t>
        </is>
      </c>
      <c r="D143" s="23" t="inlineStr">
        <is>
          <t>User is on the Reports List tab.</t>
        </is>
      </c>
      <c r="E143" s="23" t="inlineStr">
        <is>
          <t>1. Type a random string in the search box that doesn't exist.</t>
        </is>
      </c>
      <c r="F143" s="23" t="inlineStr">
        <is>
          <t>Search: 'xyz999!!!'</t>
        </is>
      </c>
      <c r="G143" s="23" t="inlineStr">
        <is>
          <t>Table is hidden and an elegant 'No reports found matching your criteria' message is shown.</t>
        </is>
      </c>
      <c r="H143" s="23" t="inlineStr"/>
      <c r="I143" s="23" t="inlineStr">
        <is>
          <t>Passed</t>
        </is>
      </c>
      <c r="J143" s="23" t="inlineStr">
        <is>
          <t>Medium</t>
        </is>
      </c>
      <c r="K143" s="23" t="inlineStr">
        <is>
          <t>Functional</t>
        </is>
      </c>
      <c r="L143" s="23" t="inlineStr">
        <is>
          <t>QA Team</t>
        </is>
      </c>
      <c r="M143" s="23" t="inlineStr"/>
      <c r="N143" s="23" t="inlineStr"/>
    </row>
    <row r="144" ht="46" customHeight="1">
      <c r="A144" s="24" t="inlineStr">
        <is>
          <t>REP-005</t>
        </is>
      </c>
      <c r="B144" s="24" t="inlineStr">
        <is>
          <t>Reports List</t>
        </is>
      </c>
      <c r="C144" s="24" t="inlineStr">
        <is>
          <t>Pagination Controls</t>
        </is>
      </c>
      <c r="D144" s="24" t="inlineStr">
        <is>
          <t>More than 10 reports exist in the system.</t>
        </is>
      </c>
      <c r="E144" s="24" t="inlineStr">
        <is>
          <t>1. Scroll to the bottom of the Reports List.
2. Click 'Next' or page number '2'.</t>
        </is>
      </c>
      <c r="F144" s="24" t="inlineStr">
        <is>
          <t>N/A</t>
        </is>
      </c>
      <c r="G144" s="24" t="inlineStr">
        <is>
          <t>System loads the next set of records instantly and updates active page index highlight.</t>
        </is>
      </c>
      <c r="H144" s="24" t="inlineStr"/>
      <c r="I144" s="24" t="inlineStr">
        <is>
          <t>Passed</t>
        </is>
      </c>
      <c r="J144" s="24" t="inlineStr">
        <is>
          <t>Medium</t>
        </is>
      </c>
      <c r="K144" s="24" t="inlineStr">
        <is>
          <t>Functional</t>
        </is>
      </c>
      <c r="L144" s="24" t="inlineStr">
        <is>
          <t>QA Team</t>
        </is>
      </c>
      <c r="M144" s="24" t="inlineStr"/>
      <c r="N144" s="24" t="inlineStr"/>
    </row>
    <row r="145" ht="46" customHeight="1">
      <c r="A145" s="23" t="inlineStr">
        <is>
          <t>REP-006</t>
        </is>
      </c>
      <c r="B145" s="23" t="inlineStr">
        <is>
          <t>Reports List</t>
        </is>
      </c>
      <c r="C145" s="23" t="inlineStr">
        <is>
          <t>SQL Injection in Search Input</t>
        </is>
      </c>
      <c r="D145" s="23" t="inlineStr">
        <is>
          <t>User is on the Reports List tab.</t>
        </is>
      </c>
      <c r="E145" s="23" t="inlineStr">
        <is>
          <t>1. Input "' OR '1'='1" inside the search input box and press Enter.</t>
        </is>
      </c>
      <c r="F145" s="23" t="inlineStr">
        <is>
          <t>Input: ' OR '1'='1</t>
        </is>
      </c>
      <c r="G145" s="23" t="inlineStr">
        <is>
          <t>System treats it as a literal string search, yields 0 results, and does not leak database info or crash.</t>
        </is>
      </c>
      <c r="H145" s="23" t="inlineStr"/>
      <c r="I145" s="23" t="inlineStr">
        <is>
          <t>Passed</t>
        </is>
      </c>
      <c r="J145" s="23" t="inlineStr">
        <is>
          <t>High</t>
        </is>
      </c>
      <c r="K145" s="23" t="inlineStr">
        <is>
          <t>Functional</t>
        </is>
      </c>
      <c r="L145" s="23" t="inlineStr">
        <is>
          <t>QA Team</t>
        </is>
      </c>
      <c r="M145" s="23" t="inlineStr"/>
      <c r="N145" s="23" t="inlineStr"/>
    </row>
    <row r="146" ht="46" customHeight="1">
      <c r="A146" s="24" t="inlineStr">
        <is>
          <t>REP-007</t>
        </is>
      </c>
      <c r="B146" s="24" t="inlineStr">
        <is>
          <t>Reports List</t>
        </is>
      </c>
      <c r="C146" s="24" t="inlineStr">
        <is>
          <t>Verify report dynamic generation status polling</t>
        </is>
      </c>
      <c r="D146" s="24" t="inlineStr">
        <is>
          <t>A large background report generation job is initiated.</t>
        </is>
      </c>
      <c r="E146" s="24" t="inlineStr">
        <is>
          <t>1. Click 'Generate Heavy Audit Report'.
2. Monitor the processing overlay progress bar.</t>
        </is>
      </c>
      <c r="F146" s="24" t="inlineStr">
        <is>
          <t>Job ID: 88921</t>
        </is>
      </c>
      <c r="G146" s="24" t="inlineStr">
        <is>
          <t>The progress bar dynamically fills from 0% to 100% matching the polled status responses until completion.</t>
        </is>
      </c>
      <c r="H146" s="24" t="inlineStr"/>
      <c r="I146" s="24" t="inlineStr">
        <is>
          <t>Not Run</t>
        </is>
      </c>
      <c r="J146" s="24" t="inlineStr">
        <is>
          <t>Medium</t>
        </is>
      </c>
      <c r="K146" s="24" t="inlineStr">
        <is>
          <t>Functional</t>
        </is>
      </c>
      <c r="L146" s="24" t="inlineStr">
        <is>
          <t>QA Team</t>
        </is>
      </c>
      <c r="M146" s="24" t="inlineStr"/>
      <c r="N146" s="24" t="inlineStr"/>
    </row>
    <row r="147" ht="46" customHeight="1">
      <c r="A147" s="23" t="inlineStr">
        <is>
          <t>REP-008</t>
        </is>
      </c>
      <c r="B147" s="23" t="inlineStr">
        <is>
          <t>Reports List</t>
        </is>
      </c>
      <c r="C147" s="23" t="inlineStr">
        <is>
          <t>Verify zero byte report download restriction</t>
        </is>
      </c>
      <c r="D147" s="23" t="inlineStr">
        <is>
          <t>An empty report entity layout exists.</t>
        </is>
      </c>
      <c r="E147" s="23" t="inlineStr">
        <is>
          <t>1. Click the download icon next to an unpopulated report schema.</t>
        </is>
      </c>
      <c r="F147" s="23" t="inlineStr">
        <is>
          <t>Report ID: 99</t>
        </is>
      </c>
      <c r="G147" s="23" t="inlineStr">
        <is>
          <t>System displays warning pop-up: 'Cannot download an empty report' and terminates download stream.</t>
        </is>
      </c>
      <c r="H147" s="23" t="inlineStr"/>
      <c r="I147" s="23" t="inlineStr">
        <is>
          <t>Not Run</t>
        </is>
      </c>
      <c r="J147" s="23" t="inlineStr">
        <is>
          <t>Medium</t>
        </is>
      </c>
      <c r="K147" s="23" t="inlineStr">
        <is>
          <t>Functional</t>
        </is>
      </c>
      <c r="L147" s="23" t="inlineStr">
        <is>
          <t>QA Team</t>
        </is>
      </c>
      <c r="M147" s="23" t="inlineStr"/>
      <c r="N147" s="23" t="inlineStr"/>
    </row>
    <row r="148" ht="46" customHeight="1">
      <c r="A148" s="24" t="inlineStr">
        <is>
          <t>REP-009</t>
        </is>
      </c>
      <c r="B148" s="24" t="inlineStr">
        <is>
          <t>Reports List</t>
        </is>
      </c>
      <c r="C148" s="24" t="inlineStr">
        <is>
          <t>Verify custom report column visibility adjustments</t>
        </is>
      </c>
      <c r="D148" s="24" t="inlineStr">
        <is>
          <t>User is on the Reports List configurations settings panel.</t>
        </is>
      </c>
      <c r="E148" s="24" t="inlineStr">
        <is>
          <t>1. Deselect 'Owner UUID' checkbox.
2. Click 'Save View Configurations'.</t>
        </is>
      </c>
      <c r="F148" s="24" t="inlineStr">
        <is>
          <t>Payload: { 'hideColumns': ['ownerUuid'] }</t>
        </is>
      </c>
      <c r="G148" s="24" t="inlineStr">
        <is>
          <t>Table re-renders instantly, hiding the chosen column. Refreshing the browser preserves this customized setup.</t>
        </is>
      </c>
      <c r="H148" s="24" t="inlineStr"/>
      <c r="I148" s="24" t="inlineStr">
        <is>
          <t>Not Run</t>
        </is>
      </c>
      <c r="J148" s="24" t="inlineStr">
        <is>
          <t>Low</t>
        </is>
      </c>
      <c r="K148" s="24" t="inlineStr">
        <is>
          <t>Functional</t>
        </is>
      </c>
      <c r="L148" s="24" t="inlineStr">
        <is>
          <t>QA Team</t>
        </is>
      </c>
      <c r="M148" s="24" t="inlineStr"/>
      <c r="N148" s="24" t="inlineStr"/>
    </row>
    <row r="149" ht="46" customHeight="1">
      <c r="A149" s="23" t="inlineStr">
        <is>
          <t>REP-010</t>
        </is>
      </c>
      <c r="B149" s="23" t="inlineStr">
        <is>
          <t>Reports List</t>
        </is>
      </c>
      <c r="C149" s="23" t="inlineStr">
        <is>
          <t>Verify data parsing boundaries for date overlaps</t>
        </is>
      </c>
      <c r="D149" s="23" t="inlineStr">
        <is>
          <t>Reports exist within that specific minute benchmark.</t>
        </is>
      </c>
      <c r="E149" s="23" t="inlineStr">
        <is>
          <t>1. GET /api/reports?startDate=2026-07-17T00:00:00Z&amp;endDate=2026-07-17T00:00:00Z</t>
        </is>
      </c>
      <c r="F149" s="23" t="inlineStr">
        <is>
          <t>Time slice injection boundaries</t>
        </is>
      </c>
      <c r="G149" s="23" t="inlineStr">
        <is>
          <t>API runs successfully and isolates records matching that exact micro-second junction point accurately.</t>
        </is>
      </c>
      <c r="H149" s="23" t="inlineStr"/>
      <c r="I149" s="23" t="inlineStr">
        <is>
          <t>Not Run</t>
        </is>
      </c>
      <c r="J149" s="23" t="inlineStr">
        <is>
          <t>Medium</t>
        </is>
      </c>
      <c r="K149" s="23" t="inlineStr">
        <is>
          <t>Functional</t>
        </is>
      </c>
      <c r="L149" s="23" t="inlineStr">
        <is>
          <t>QA Team</t>
        </is>
      </c>
      <c r="M149" s="23" t="inlineStr"/>
      <c r="N149" s="23" t="inlineStr"/>
    </row>
    <row r="150" ht="46" customHeight="1">
      <c r="A150" s="24" t="inlineStr">
        <is>
          <t>REP-011</t>
        </is>
      </c>
      <c r="B150" s="24" t="inlineStr">
        <is>
          <t>Reports List</t>
        </is>
      </c>
      <c r="C150" s="24" t="inlineStr">
        <is>
          <t>Verify multiple export format concurrent downloads</t>
        </is>
      </c>
      <c r="D150" s="24" t="inlineStr">
        <is>
          <t>System background export microservices are active.</t>
        </is>
      </c>
      <c r="E150" s="24" t="inlineStr">
        <is>
          <t>1. Click 'Export Excel' and 'Export PDF' immediately after each other.</t>
        </is>
      </c>
      <c r="F150" s="24" t="inlineStr">
        <is>
          <t>N/A</t>
        </is>
      </c>
      <c r="G150" s="24" t="inlineStr">
        <is>
          <t>Both files compile and download independently in separate task threads without locking row assets.</t>
        </is>
      </c>
      <c r="H150" s="24" t="inlineStr"/>
      <c r="I150" s="24" t="inlineStr">
        <is>
          <t>Not Run</t>
        </is>
      </c>
      <c r="J150" s="24" t="inlineStr">
        <is>
          <t>High</t>
        </is>
      </c>
      <c r="K150" s="24" t="inlineStr">
        <is>
          <t>Functional</t>
        </is>
      </c>
      <c r="L150" s="24" t="inlineStr">
        <is>
          <t>QA Team</t>
        </is>
      </c>
      <c r="M150" s="24" t="inlineStr"/>
      <c r="N150" s="24" t="inlineStr"/>
    </row>
    <row r="151" ht="46" customHeight="1">
      <c r="A151" s="23" t="inlineStr">
        <is>
          <t>REP-012</t>
        </is>
      </c>
      <c r="B151" s="23" t="inlineStr">
        <is>
          <t>Reports List</t>
        </is>
      </c>
      <c r="C151" s="23" t="inlineStr">
        <is>
          <t>Validate retention date boundaries checking engine</t>
        </is>
      </c>
      <c r="D151" s="23" t="inlineStr">
        <is>
          <t>A file asset timestamp record is manually set back by 32 days in database fields.</t>
        </is>
      </c>
      <c r="E151" s="23" t="inlineStr">
        <is>
          <t>1. Refresh dashboard report monitoring module.</t>
        </is>
      </c>
      <c r="F151" s="23" t="inlineStr">
        <is>
          <t>File creation date modification parameters</t>
        </is>
      </c>
      <c r="G151" s="23" t="inlineStr">
        <is>
          <t>The expired report record no longer lists on the active index list grid view.</t>
        </is>
      </c>
      <c r="H151" s="23" t="inlineStr"/>
      <c r="I151" s="23" t="inlineStr">
        <is>
          <t>Not Run</t>
        </is>
      </c>
      <c r="J151" s="23" t="inlineStr">
        <is>
          <t>Medium</t>
        </is>
      </c>
      <c r="K151" s="23" t="inlineStr">
        <is>
          <t>Functional</t>
        </is>
      </c>
      <c r="L151" s="23" t="inlineStr">
        <is>
          <t>QA Team</t>
        </is>
      </c>
      <c r="M151" s="23" t="inlineStr"/>
      <c r="N151" s="23" t="inlineStr"/>
    </row>
    <row r="152" ht="46" customHeight="1">
      <c r="A152" s="24" t="inlineStr">
        <is>
          <t>REP-013</t>
        </is>
      </c>
      <c r="B152" s="24" t="inlineStr">
        <is>
          <t>Reports List</t>
        </is>
      </c>
      <c r="C152" s="24" t="inlineStr">
        <is>
          <t>Verify search index execution for numeric string tags</t>
        </is>
      </c>
      <c r="D152" s="24" t="inlineStr">
        <is>
          <t>An asset configuration hash parameter is identified.</t>
        </is>
      </c>
      <c r="E152" s="24" t="inlineStr">
        <is>
          <t>1. Input full hash string sequence inside query box.</t>
        </is>
      </c>
      <c r="F152" s="24" t="inlineStr">
        <is>
          <t>Input: 'RPT-2026-X77A'</t>
        </is>
      </c>
      <c r="G152" s="24" t="inlineStr">
        <is>
          <t>Grid isolates the exact targeted report asset immediately within milliseconds.</t>
        </is>
      </c>
      <c r="H152" s="24" t="inlineStr"/>
      <c r="I152" s="24" t="inlineStr">
        <is>
          <t>Not Run</t>
        </is>
      </c>
      <c r="J152" s="24" t="inlineStr">
        <is>
          <t>Low</t>
        </is>
      </c>
      <c r="K152" s="24" t="inlineStr">
        <is>
          <t>Functional</t>
        </is>
      </c>
      <c r="L152" s="24" t="inlineStr">
        <is>
          <t>QA Team</t>
        </is>
      </c>
      <c r="M152" s="24" t="inlineStr"/>
      <c r="N152" s="24" t="inlineStr"/>
    </row>
    <row r="153" ht="46" customHeight="1">
      <c r="A153" s="23" t="inlineStr">
        <is>
          <t>REP-014</t>
        </is>
      </c>
      <c r="B153" s="23" t="inlineStr">
        <is>
          <t>Reports List</t>
        </is>
      </c>
      <c r="C153" s="23" t="inlineStr">
        <is>
          <t>Verify sorting column toggles state persistence</t>
        </is>
      </c>
      <c r="D153" s="23" t="inlineStr">
        <is>
          <t>Reports table loads variable rows.</t>
        </is>
      </c>
      <c r="E153" s="23" t="inlineStr">
        <is>
          <t>1. Resize 'Report Name' column header line handle.</t>
        </is>
      </c>
      <c r="F153" s="23" t="inlineStr">
        <is>
          <t>N/A</t>
        </is>
      </c>
      <c r="G153" s="23" t="inlineStr">
        <is>
          <t>Adjacent data cells adapt to changes cleanly without text breaking out of field margins.</t>
        </is>
      </c>
      <c r="H153" s="23" t="inlineStr"/>
      <c r="I153" s="23" t="inlineStr">
        <is>
          <t>Not Run</t>
        </is>
      </c>
      <c r="J153" s="23" t="inlineStr">
        <is>
          <t>Low</t>
        </is>
      </c>
      <c r="K153" s="23" t="inlineStr">
        <is>
          <t>Functional</t>
        </is>
      </c>
      <c r="L153" s="23" t="inlineStr">
        <is>
          <t>QA Team</t>
        </is>
      </c>
      <c r="M153" s="23" t="inlineStr"/>
      <c r="N153" s="23" t="inlineStr"/>
    </row>
    <row r="154" ht="46" customHeight="1">
      <c r="A154" s="24" t="inlineStr">
        <is>
          <t>REP-015</t>
        </is>
      </c>
      <c r="B154" s="24" t="inlineStr">
        <is>
          <t>Reports List</t>
        </is>
      </c>
      <c r="C154" s="24" t="inlineStr">
        <is>
          <t>Validate authorization tokens on heavy CSV dumps</t>
        </is>
      </c>
      <c r="D154" s="24" t="inlineStr">
        <is>
          <t>User session token is set to expire mid-download transaction sequence.</t>
        </is>
      </c>
      <c r="E154" s="24" t="inlineStr">
        <is>
          <t>1. Fire extraction stream request for 500,000 data items.</t>
        </is>
      </c>
      <c r="F154" s="24" t="inlineStr">
        <is>
          <t>N/A</t>
        </is>
      </c>
      <c r="G154" s="24" t="inlineStr">
        <is>
          <t>Midway stream stops and returns an error if token expires before completion, ensuring absolute security.</t>
        </is>
      </c>
      <c r="H154" s="24" t="inlineStr"/>
      <c r="I154" s="24" t="inlineStr">
        <is>
          <t>Not Run</t>
        </is>
      </c>
      <c r="J154" s="24" t="inlineStr">
        <is>
          <t>High</t>
        </is>
      </c>
      <c r="K154" s="24" t="inlineStr">
        <is>
          <t>Functional</t>
        </is>
      </c>
      <c r="L154" s="24" t="inlineStr">
        <is>
          <t>QA Team</t>
        </is>
      </c>
      <c r="M154" s="24" t="inlineStr"/>
      <c r="N154" s="24" t="inlineStr"/>
    </row>
    <row r="155" ht="46" customHeight="1">
      <c r="A155" s="23" t="inlineStr">
        <is>
          <t>REP-016</t>
        </is>
      </c>
      <c r="B155" s="23" t="inlineStr">
        <is>
          <t>Reports List</t>
        </is>
      </c>
      <c r="C155" s="23" t="inlineStr">
        <is>
          <t>Route smoke test</t>
        </is>
      </c>
      <c r="D155" s="23" t="inlineStr">
        <is>
          <t>Development server running</t>
        </is>
      </c>
      <c r="E155" s="23" t="inlineStr">
        <is>
          <t>Open the implemented route on localhost:4200</t>
        </is>
      </c>
      <c r="F155" s="23" t="inlineStr">
        <is>
          <t>See steps</t>
        </is>
      </c>
      <c r="G155" s="23" t="inlineStr">
        <is>
          <t>The Angular route resolves without a 404.</t>
        </is>
      </c>
      <c r="H155" s="23" t="inlineStr">
        <is>
          <t>Not executed: requires isolated test data, credentials, or controlled API failure.</t>
        </is>
      </c>
      <c r="I155" s="23" t="inlineStr">
        <is>
          <t>Not Run</t>
        </is>
      </c>
      <c r="J155" s="23" t="inlineStr">
        <is>
          <t>Medium</t>
        </is>
      </c>
      <c r="K155" s="23" t="inlineStr">
        <is>
          <t>Functional</t>
        </is>
      </c>
      <c r="L155" s="23" t="inlineStr">
        <is>
          <t>Codex QA</t>
        </is>
      </c>
      <c r="M155" s="23" t="inlineStr">
        <is>
          <t>2026-07-20</t>
        </is>
      </c>
      <c r="N155" s="23" t="inlineStr">
        <is>
          <t>Designed from the implemented UI and service contract.</t>
        </is>
      </c>
    </row>
    <row r="156" ht="46" customHeight="1">
      <c r="A156" s="24" t="inlineStr">
        <is>
          <t>REP-017</t>
        </is>
      </c>
      <c r="B156" s="24" t="inlineStr">
        <is>
          <t>Reports List</t>
        </is>
      </c>
      <c r="C156" s="24" t="inlineStr">
        <is>
          <t>Read-only API availability</t>
        </is>
      </c>
      <c r="D156" s="24" t="inlineStr">
        <is>
          <t>Local API at localhost:8080</t>
        </is>
      </c>
      <c r="E156" s="24" t="inlineStr">
        <is>
          <t>Load page with the local API running</t>
        </is>
      </c>
      <c r="F156" s="24" t="inlineStr">
        <is>
          <t>See steps</t>
        </is>
      </c>
      <c r="G156" s="24" t="inlineStr">
        <is>
          <t>Read-only data requests complete or a user-visible error is shown.</t>
        </is>
      </c>
      <c r="H156" s="24" t="inlineStr">
        <is>
          <t>Not executed: requires isolated test data, credentials, or controlled API failure.</t>
        </is>
      </c>
      <c r="I156" s="24" t="inlineStr">
        <is>
          <t>Not Run</t>
        </is>
      </c>
      <c r="J156" s="24" t="inlineStr">
        <is>
          <t>Medium</t>
        </is>
      </c>
      <c r="K156" s="24" t="inlineStr">
        <is>
          <t>Functional</t>
        </is>
      </c>
      <c r="L156" s="24" t="inlineStr">
        <is>
          <t>Codex QA</t>
        </is>
      </c>
      <c r="M156" s="24" t="inlineStr">
        <is>
          <t>2026-07-20</t>
        </is>
      </c>
      <c r="N156" s="24" t="inlineStr">
        <is>
          <t>Designed from the implemented UI and service contract.</t>
        </is>
      </c>
    </row>
    <row r="157" ht="46" customHeight="1">
      <c r="A157" s="23" t="inlineStr">
        <is>
          <t>REP-018</t>
        </is>
      </c>
      <c r="B157" s="23" t="inlineStr">
        <is>
          <t>Reports List</t>
        </is>
      </c>
      <c r="C157" s="23" t="inlineStr">
        <is>
          <t>Data-changing regression</t>
        </is>
      </c>
      <c r="D157" s="23" t="inlineStr">
        <is>
          <t>Dedicated test database and account</t>
        </is>
      </c>
      <c r="E157" s="23" t="inlineStr">
        <is>
          <t>Create, edit, or delete a record using an isolated test account</t>
        </is>
      </c>
      <c r="F157" s="23" t="inlineStr">
        <is>
          <t>See steps</t>
        </is>
      </c>
      <c r="G157" s="23" t="inlineStr">
        <is>
          <t>Only the test record is changed and can be cleaned up.</t>
        </is>
      </c>
      <c r="H157" s="23" t="inlineStr">
        <is>
          <t>Not executed: requires isolated test data, credentials, or controlled API failure.</t>
        </is>
      </c>
      <c r="I157" s="23" t="inlineStr">
        <is>
          <t>Not Run</t>
        </is>
      </c>
      <c r="J157" s="23" t="inlineStr">
        <is>
          <t>Medium</t>
        </is>
      </c>
      <c r="K157" s="23" t="inlineStr">
        <is>
          <t>Functional</t>
        </is>
      </c>
      <c r="L157" s="23" t="inlineStr">
        <is>
          <t>Codex QA</t>
        </is>
      </c>
      <c r="M157" s="23" t="inlineStr">
        <is>
          <t>2026-07-20</t>
        </is>
      </c>
      <c r="N157" s="23" t="inlineStr">
        <is>
          <t>Designed from the implemented UI and service contract.</t>
        </is>
      </c>
    </row>
    <row r="158" ht="46" customHeight="1">
      <c r="A158" s="24" t="inlineStr">
        <is>
          <t>COM-001</t>
        </is>
      </c>
      <c r="B158" s="24" t="inlineStr">
        <is>
          <t>Compose Report</t>
        </is>
      </c>
      <c r="C158" s="24" t="inlineStr">
        <is>
          <t>Route smoke test</t>
        </is>
      </c>
      <c r="D158" s="24" t="inlineStr">
        <is>
          <t>Development server running</t>
        </is>
      </c>
      <c r="E158" s="24" t="inlineStr">
        <is>
          <t>Open the implemented route on localhost:4200</t>
        </is>
      </c>
      <c r="F158" s="24" t="inlineStr">
        <is>
          <t>See steps</t>
        </is>
      </c>
      <c r="G158" s="24" t="inlineStr">
        <is>
          <t>The Angular route resolves without a 404.</t>
        </is>
      </c>
      <c r="H158" s="24" t="inlineStr">
        <is>
          <t>Not executed: requires isolated test data, credentials, or controlled API failure.</t>
        </is>
      </c>
      <c r="I158" s="24" t="inlineStr">
        <is>
          <t>Not Run</t>
        </is>
      </c>
      <c r="J158" s="24" t="inlineStr">
        <is>
          <t>Medium</t>
        </is>
      </c>
      <c r="K158" s="24" t="inlineStr">
        <is>
          <t>Functional</t>
        </is>
      </c>
      <c r="L158" s="24" t="inlineStr">
        <is>
          <t>Codex QA</t>
        </is>
      </c>
      <c r="M158" s="24" t="inlineStr">
        <is>
          <t>2026-07-20</t>
        </is>
      </c>
      <c r="N158" s="24" t="inlineStr">
        <is>
          <t>Designed from the implemented UI and service contract.</t>
        </is>
      </c>
    </row>
    <row r="159" ht="46" customHeight="1">
      <c r="A159" s="23" t="inlineStr">
        <is>
          <t>COM-002</t>
        </is>
      </c>
      <c r="B159" s="23" t="inlineStr">
        <is>
          <t>Compose Report</t>
        </is>
      </c>
      <c r="C159" s="23" t="inlineStr">
        <is>
          <t>Read-only API availability</t>
        </is>
      </c>
      <c r="D159" s="23" t="inlineStr">
        <is>
          <t>Local API at localhost:8080</t>
        </is>
      </c>
      <c r="E159" s="23" t="inlineStr">
        <is>
          <t>Load page with the local API running</t>
        </is>
      </c>
      <c r="F159" s="23" t="inlineStr">
        <is>
          <t>See steps</t>
        </is>
      </c>
      <c r="G159" s="23" t="inlineStr">
        <is>
          <t>Read-only data requests complete or a user-visible error is shown.</t>
        </is>
      </c>
      <c r="H159" s="23" t="inlineStr">
        <is>
          <t>Not executed: requires isolated test data, credentials, or controlled API failure.</t>
        </is>
      </c>
      <c r="I159" s="23" t="inlineStr">
        <is>
          <t>Not Run</t>
        </is>
      </c>
      <c r="J159" s="23" t="inlineStr">
        <is>
          <t>Medium</t>
        </is>
      </c>
      <c r="K159" s="23" t="inlineStr">
        <is>
          <t>Functional</t>
        </is>
      </c>
      <c r="L159" s="23" t="inlineStr">
        <is>
          <t>Codex QA</t>
        </is>
      </c>
      <c r="M159" s="23" t="inlineStr">
        <is>
          <t>2026-07-20</t>
        </is>
      </c>
      <c r="N159" s="23" t="inlineStr">
        <is>
          <t>Designed from the implemented UI and service contract.</t>
        </is>
      </c>
    </row>
    <row r="160" ht="46" customHeight="1">
      <c r="A160" s="24" t="inlineStr">
        <is>
          <t>COM-003</t>
        </is>
      </c>
      <c r="B160" s="24" t="inlineStr">
        <is>
          <t>Compose Report</t>
        </is>
      </c>
      <c r="C160" s="24" t="inlineStr">
        <is>
          <t>Data-changing regression</t>
        </is>
      </c>
      <c r="D160" s="24" t="inlineStr">
        <is>
          <t>Dedicated test database and account</t>
        </is>
      </c>
      <c r="E160" s="24" t="inlineStr">
        <is>
          <t>Create, edit, or delete a record using an isolated test account</t>
        </is>
      </c>
      <c r="F160" s="24" t="inlineStr">
        <is>
          <t>See steps</t>
        </is>
      </c>
      <c r="G160" s="24" t="inlineStr">
        <is>
          <t>Only the test record is changed and can be cleaned up.</t>
        </is>
      </c>
      <c r="H160" s="24" t="inlineStr">
        <is>
          <t>Not executed: requires isolated test data, credentials, or controlled API failure.</t>
        </is>
      </c>
      <c r="I160" s="24" t="inlineStr">
        <is>
          <t>Not Run</t>
        </is>
      </c>
      <c r="J160" s="24" t="inlineStr">
        <is>
          <t>Medium</t>
        </is>
      </c>
      <c r="K160" s="24" t="inlineStr">
        <is>
          <t>Functional</t>
        </is>
      </c>
      <c r="L160" s="24" t="inlineStr">
        <is>
          <t>Codex QA</t>
        </is>
      </c>
      <c r="M160" s="24" t="inlineStr">
        <is>
          <t>2026-07-20</t>
        </is>
      </c>
      <c r="N160" s="24" t="inlineStr">
        <is>
          <t>Designed from the implemented UI and service contract.</t>
        </is>
      </c>
    </row>
    <row r="161" ht="46" customHeight="1">
      <c r="A161" s="23" t="inlineStr">
        <is>
          <t>SEN-001</t>
        </is>
      </c>
      <c r="B161" s="23" t="inlineStr">
        <is>
          <t>Send Email</t>
        </is>
      </c>
      <c r="C161" s="23" t="inlineStr">
        <is>
          <t>Successful Email Transmission</t>
        </is>
      </c>
      <c r="D161" s="23" t="inlineStr">
        <is>
          <t>User is authenticated and SMTP server is active.</t>
        </is>
      </c>
      <c r="E161" s="23" t="inlineStr">
        <is>
          <t>1. Fill 'To', 'Subject', and 'Message' fields.
2. Click the 'Send' button.</t>
        </is>
      </c>
      <c r="F161" s="23" t="inlineStr">
        <is>
          <t>To: test@student.com, Subject: 'Welcome', Body: 'Hello...'</t>
        </is>
      </c>
      <c r="G161" s="23" t="inlineStr">
        <is>
          <t>Email sends successfully. Confirmation toast 'Email sent successfully!' appears.</t>
        </is>
      </c>
      <c r="H161" s="23" t="inlineStr"/>
      <c r="I161" s="23" t="inlineStr">
        <is>
          <t>Passed</t>
        </is>
      </c>
      <c r="J161" s="23" t="inlineStr">
        <is>
          <t>High</t>
        </is>
      </c>
      <c r="K161" s="23" t="inlineStr">
        <is>
          <t>Functional</t>
        </is>
      </c>
      <c r="L161" s="23" t="inlineStr">
        <is>
          <t>QA Team</t>
        </is>
      </c>
      <c r="M161" s="23" t="inlineStr"/>
      <c r="N161" s="23" t="inlineStr"/>
    </row>
    <row r="162" ht="46" customHeight="1">
      <c r="A162" s="24" t="inlineStr">
        <is>
          <t>SEN-002</t>
        </is>
      </c>
      <c r="B162" s="24" t="inlineStr">
        <is>
          <t>Send Email</t>
        </is>
      </c>
      <c r="C162" s="24" t="inlineStr">
        <is>
          <t>Email Format Validation</t>
        </is>
      </c>
      <c r="D162" s="24" t="inlineStr">
        <is>
          <t>User is on the Send Email page.</t>
        </is>
      </c>
      <c r="E162" s="24" t="inlineStr">
        <is>
          <t>1. Type an invalid email format.
2. Click 'Send'.</t>
        </is>
      </c>
      <c r="F162" s="24" t="inlineStr">
        <is>
          <t>To: invalid_email#domain.com</t>
        </is>
      </c>
      <c r="G162" s="24" t="inlineStr">
        <is>
          <t>System blocks transmission, highlights field in red, and displays 'Please enter a valid email address'.</t>
        </is>
      </c>
      <c r="H162" s="24" t="inlineStr"/>
      <c r="I162" s="24" t="inlineStr">
        <is>
          <t>Passed</t>
        </is>
      </c>
      <c r="J162" s="24" t="inlineStr">
        <is>
          <t>Medium</t>
        </is>
      </c>
      <c r="K162" s="24" t="inlineStr">
        <is>
          <t>Functional</t>
        </is>
      </c>
      <c r="L162" s="24" t="inlineStr">
        <is>
          <t>QA Team</t>
        </is>
      </c>
      <c r="M162" s="24" t="inlineStr"/>
      <c r="N162" s="24" t="inlineStr"/>
    </row>
    <row r="163" ht="46" customHeight="1">
      <c r="A163" s="23" t="inlineStr">
        <is>
          <t>SEN-003</t>
        </is>
      </c>
      <c r="B163" s="23" t="inlineStr">
        <is>
          <t>Send Email</t>
        </is>
      </c>
      <c r="C163" s="23" t="inlineStr">
        <is>
          <t>Attachment Constraints</t>
        </is>
      </c>
      <c r="D163" s="23" t="inlineStr">
        <is>
          <t>User is preparing an email.</t>
        </is>
      </c>
      <c r="E163" s="23" t="inlineStr">
        <is>
          <t>1. Attach a file larger than the maximum limit.</t>
        </is>
      </c>
      <c r="F163" s="23" t="inlineStr">
        <is>
          <t>File size: 30MB PDF (Limit: 15MB)</t>
        </is>
      </c>
      <c r="G163" s="23" t="inlineStr">
        <is>
          <t>Upload is blocked immediately with warning: 'File size exceeds the 15MB maximum limit.'</t>
        </is>
      </c>
      <c r="H163" s="23" t="inlineStr"/>
      <c r="I163" s="23" t="inlineStr">
        <is>
          <t>Passed</t>
        </is>
      </c>
      <c r="J163" s="23" t="inlineStr">
        <is>
          <t>Medium</t>
        </is>
      </c>
      <c r="K163" s="23" t="inlineStr">
        <is>
          <t>Functional</t>
        </is>
      </c>
      <c r="L163" s="23" t="inlineStr">
        <is>
          <t>QA Team</t>
        </is>
      </c>
      <c r="M163" s="23" t="inlineStr"/>
      <c r="N163" s="23" t="inlineStr"/>
    </row>
    <row r="164" ht="46" customHeight="1">
      <c r="A164" s="24" t="inlineStr">
        <is>
          <t>SEN-004</t>
        </is>
      </c>
      <c r="B164" s="24" t="inlineStr">
        <is>
          <t>Send Email</t>
        </is>
      </c>
      <c r="C164" s="24" t="inlineStr">
        <is>
          <t>Mandatory Field Validations</t>
        </is>
      </c>
      <c r="D164" s="24" t="inlineStr">
        <is>
          <t>User is on Send Email page.</t>
        </is>
      </c>
      <c r="E164" s="24" t="inlineStr">
        <is>
          <t>1. Fill 'Subject' but leave 'To' and 'Message' entirely blank.
2. Click 'Send'.</t>
        </is>
      </c>
      <c r="F164" s="24" t="inlineStr">
        <is>
          <t>To: [Blank]</t>
        </is>
      </c>
      <c r="G164" s="24" t="inlineStr">
        <is>
          <t>Form submission is rejected; validation errors appear under 'To' and 'Message' fields.</t>
        </is>
      </c>
      <c r="H164" s="24" t="inlineStr"/>
      <c r="I164" s="24" t="inlineStr">
        <is>
          <t>Passed</t>
        </is>
      </c>
      <c r="J164" s="24" t="inlineStr">
        <is>
          <t>High</t>
        </is>
      </c>
      <c r="K164" s="24" t="inlineStr">
        <is>
          <t>Functional</t>
        </is>
      </c>
      <c r="L164" s="24" t="inlineStr">
        <is>
          <t>QA Team</t>
        </is>
      </c>
      <c r="M164" s="24" t="inlineStr"/>
      <c r="N164" s="24" t="inlineStr"/>
    </row>
    <row r="165" ht="46" customHeight="1">
      <c r="A165" s="23" t="inlineStr">
        <is>
          <t>SEN-005</t>
        </is>
      </c>
      <c r="B165" s="23" t="inlineStr">
        <is>
          <t>Send Email</t>
        </is>
      </c>
      <c r="C165" s="23" t="inlineStr">
        <is>
          <t>Multiple Recipients Support</t>
        </is>
      </c>
      <c r="D165" s="23" t="inlineStr">
        <is>
          <t>SMTP configurations support multi-recipient mailing.</t>
        </is>
      </c>
      <c r="E165" s="23" t="inlineStr">
        <is>
          <t>1. Enter multiple valid emails separated by commas in the 'To' field.
2. Click 'Send'.</t>
        </is>
      </c>
      <c r="F165" s="23" t="inlineStr">
        <is>
          <t>To: user1@test.com, user2@test.com</t>
        </is>
      </c>
      <c r="G165" s="23" t="inlineStr">
        <is>
          <t>Email is successfully transmitted to both mailboxes simultaneously.</t>
        </is>
      </c>
      <c r="H165" s="23" t="inlineStr"/>
      <c r="I165" s="23" t="inlineStr">
        <is>
          <t>Passed</t>
        </is>
      </c>
      <c r="J165" s="23" t="inlineStr">
        <is>
          <t>Medium</t>
        </is>
      </c>
      <c r="K165" s="23" t="inlineStr">
        <is>
          <t>Functional</t>
        </is>
      </c>
      <c r="L165" s="23" t="inlineStr">
        <is>
          <t>QA Team</t>
        </is>
      </c>
      <c r="M165" s="23" t="inlineStr"/>
      <c r="N165" s="23" t="inlineStr"/>
    </row>
    <row r="166" ht="46" customHeight="1">
      <c r="A166" s="24" t="inlineStr">
        <is>
          <t>SEN-006</t>
        </is>
      </c>
      <c r="B166" s="24" t="inlineStr">
        <is>
          <t>Send Email</t>
        </is>
      </c>
      <c r="C166" s="24" t="inlineStr">
        <is>
          <t>Rich Text Formatting Retention</t>
        </is>
      </c>
      <c r="D166" s="24" t="inlineStr">
        <is>
          <t>Rich text editor plugin is integrated into the body field.</t>
        </is>
      </c>
      <c r="E166" s="24" t="inlineStr">
        <is>
          <t>1. Apply bold format to a word and add a bulleted list.
2. Send email to a test account.</t>
        </is>
      </c>
      <c r="F166" s="24" t="inlineStr">
        <is>
          <t>Formatted text body</t>
        </is>
      </c>
      <c r="G166" s="24" t="inlineStr">
        <is>
          <t>The recipient receives the email with all bold stylings and bullet structures perfectly preserved.</t>
        </is>
      </c>
      <c r="H166" s="24" t="inlineStr"/>
      <c r="I166" s="24" t="inlineStr">
        <is>
          <t>Passed</t>
        </is>
      </c>
      <c r="J166" s="24" t="inlineStr">
        <is>
          <t>Low</t>
        </is>
      </c>
      <c r="K166" s="24" t="inlineStr">
        <is>
          <t>Functional</t>
        </is>
      </c>
      <c r="L166" s="24" t="inlineStr">
        <is>
          <t>QA Team</t>
        </is>
      </c>
      <c r="M166" s="24" t="inlineStr"/>
      <c r="N166" s="24" t="inlineStr"/>
    </row>
    <row r="167" ht="46" customHeight="1">
      <c r="A167" s="23" t="inlineStr">
        <is>
          <t>SEN-007</t>
        </is>
      </c>
      <c r="B167" s="23" t="inlineStr">
        <is>
          <t>Send Email</t>
        </is>
      </c>
      <c r="C167" s="23" t="inlineStr">
        <is>
          <t>Verify automatic draft auto-save behavior</t>
        </is>
      </c>
      <c r="D167" s="23" t="inlineStr">
        <is>
          <t>User opens a blank compose view email panel.</t>
        </is>
      </c>
      <c r="E167" s="23" t="inlineStr">
        <is>
          <t>1. Start typing a message body.
2. Wait 30 seconds without clicking send.</t>
        </is>
      </c>
      <c r="F167" s="23" t="inlineStr">
        <is>
          <t>Draft text payload inputs</t>
        </is>
      </c>
      <c r="G167" s="23" t="inlineStr">
        <is>
          <t>A quiet status footer message shows 'Draft saved successfully' and the backend draft record is updated.</t>
        </is>
      </c>
      <c r="H167" s="23" t="inlineStr"/>
      <c r="I167" s="23" t="inlineStr">
        <is>
          <t>Not Run</t>
        </is>
      </c>
      <c r="J167" s="23" t="inlineStr">
        <is>
          <t>Low</t>
        </is>
      </c>
      <c r="K167" s="23" t="inlineStr">
        <is>
          <t>Functional</t>
        </is>
      </c>
      <c r="L167" s="23" t="inlineStr">
        <is>
          <t>QA Team</t>
        </is>
      </c>
      <c r="M167" s="23" t="inlineStr"/>
      <c r="N167" s="23" t="inlineStr"/>
    </row>
    <row r="168" ht="46" customHeight="1">
      <c r="A168" s="24" t="inlineStr">
        <is>
          <t>SEN-008</t>
        </is>
      </c>
      <c r="B168" s="24" t="inlineStr">
        <is>
          <t>Send Email</t>
        </is>
      </c>
      <c r="C168" s="24" t="inlineStr">
        <is>
          <t>Verify transmission handling during active internet outage</t>
        </is>
      </c>
      <c r="D168" s="24" t="inlineStr">
        <is>
          <t>Network connection is disconnected via developer tools right before submission.</t>
        </is>
      </c>
      <c r="E168" s="24" t="inlineStr">
        <is>
          <t>1. Click the 'Send Email' button.
2. Trigger simulated offline mode.</t>
        </is>
      </c>
      <c r="F168" s="24" t="inlineStr">
        <is>
          <t>N/A</t>
        </is>
      </c>
      <c r="G168" s="24" t="inlineStr">
        <is>
          <t>System alerts user: 'Connection lost. Message queued for automatic delivery upon reconnection.' No text is lost.</t>
        </is>
      </c>
      <c r="H168" s="24" t="inlineStr"/>
      <c r="I168" s="24" t="inlineStr">
        <is>
          <t>Not Run</t>
        </is>
      </c>
      <c r="J168" s="24" t="inlineStr">
        <is>
          <t>High</t>
        </is>
      </c>
      <c r="K168" s="24" t="inlineStr">
        <is>
          <t>Functional</t>
        </is>
      </c>
      <c r="L168" s="24" t="inlineStr">
        <is>
          <t>QA Team</t>
        </is>
      </c>
      <c r="M168" s="24" t="inlineStr"/>
      <c r="N168" s="24" t="inlineStr"/>
    </row>
    <row r="169" ht="46" customHeight="1">
      <c r="A169" s="23" t="inlineStr">
        <is>
          <t>SEN-009</t>
        </is>
      </c>
      <c r="B169" s="23" t="inlineStr">
        <is>
          <t>Send Email</t>
        </is>
      </c>
      <c r="C169" s="23" t="inlineStr">
        <is>
          <t>Verify template replacement placeholder parsing logic</t>
        </is>
      </c>
      <c r="D169" s="23" t="inlineStr">
        <is>
          <t>An active email template is selected.</t>
        </is>
      </c>
      <c r="E169" s="23" t="inlineStr">
        <is>
          <t>1. Select template 'Welcome Email'.
2. Review outbox generation payload array mappings.</t>
        </is>
      </c>
      <c r="F169" s="23" t="inlineStr">
        <is>
          <t>Template placeholder keys</t>
        </is>
      </c>
      <c r="G169" s="23" t="inlineStr">
        <is>
          <t>The recipient receives an email where the variable brackets are replaced by their actual real first name string.</t>
        </is>
      </c>
      <c r="H169" s="23" t="inlineStr"/>
      <c r="I169" s="23" t="inlineStr">
        <is>
          <t>Not Run</t>
        </is>
      </c>
      <c r="J169" s="23" t="inlineStr">
        <is>
          <t>High</t>
        </is>
      </c>
      <c r="K169" s="23" t="inlineStr">
        <is>
          <t>Functional</t>
        </is>
      </c>
      <c r="L169" s="23" t="inlineStr">
        <is>
          <t>QA Team</t>
        </is>
      </c>
      <c r="M169" s="23" t="inlineStr"/>
      <c r="N169" s="23" t="inlineStr"/>
    </row>
    <row r="170" ht="46" customHeight="1">
      <c r="A170" s="24" t="inlineStr">
        <is>
          <t>SEN-010</t>
        </is>
      </c>
      <c r="B170" s="24" t="inlineStr">
        <is>
          <t>Send Email</t>
        </is>
      </c>
      <c r="C170" s="24" t="inlineStr">
        <is>
          <t>Verify CC and BCC payload separation encapsulation</t>
        </is>
      </c>
      <c r="D170" s="24" t="inlineStr">
        <is>
          <t>Email sent with distinct To, CC, and BCC records.</t>
        </is>
      </c>
      <c r="E170" s="24" t="inlineStr">
        <is>
          <t>1. Populate To, CC, and BCC slots with test addresses.
2. Open received headers from the 'To' inbox.</t>
        </is>
      </c>
      <c r="F170" s="24" t="inlineStr">
        <is>
          <t>To: main@t.com, CC: cc@t.com, BCC: secret@t.com</t>
        </is>
      </c>
      <c r="G170" s="24" t="inlineStr">
        <is>
          <t>The header content maps 'To' and 'CC' visibly, but completely hides any traces of the 'BCC' mail string address.</t>
        </is>
      </c>
      <c r="H170" s="24" t="inlineStr"/>
      <c r="I170" s="24" t="inlineStr">
        <is>
          <t>Not Run</t>
        </is>
      </c>
      <c r="J170" s="24" t="inlineStr">
        <is>
          <t>Medium</t>
        </is>
      </c>
      <c r="K170" s="24" t="inlineStr">
        <is>
          <t>Functional</t>
        </is>
      </c>
      <c r="L170" s="24" t="inlineStr">
        <is>
          <t>QA Team</t>
        </is>
      </c>
      <c r="M170" s="24" t="inlineStr"/>
      <c r="N170" s="24" t="inlineStr"/>
    </row>
    <row r="171" ht="46" customHeight="1">
      <c r="A171" s="23" t="inlineStr">
        <is>
          <t>SEN-011</t>
        </is>
      </c>
      <c r="B171" s="23" t="inlineStr">
        <is>
          <t>Send Email</t>
        </is>
      </c>
      <c r="C171" s="23" t="inlineStr">
        <is>
          <t>Verify rich inline graphic content handling arrays</t>
        </is>
      </c>
      <c r="D171" s="23" t="inlineStr">
        <is>
          <t>SMTP data limits allow base64 string passing parameters.</t>
        </is>
      </c>
      <c r="E171" s="23" t="inlineStr">
        <is>
          <t>1. Copy paste an image block directly inside email text field box.
2. Send.</t>
        </is>
      </c>
      <c r="F171" s="23" t="inlineStr">
        <is>
          <t>Base64 image content stream block</t>
        </is>
      </c>
      <c r="G171" s="23" t="inlineStr">
        <is>
          <t>Message routes cleanly; target recipient loads graphic seamlessly inside inline views.</t>
        </is>
      </c>
      <c r="H171" s="23" t="inlineStr"/>
      <c r="I171" s="23" t="inlineStr">
        <is>
          <t>Not Run</t>
        </is>
      </c>
      <c r="J171" s="23" t="inlineStr">
        <is>
          <t>Medium</t>
        </is>
      </c>
      <c r="K171" s="23" t="inlineStr">
        <is>
          <t>Functional</t>
        </is>
      </c>
      <c r="L171" s="23" t="inlineStr">
        <is>
          <t>QA Team</t>
        </is>
      </c>
      <c r="M171" s="23" t="inlineStr"/>
      <c r="N171" s="23" t="inlineStr"/>
    </row>
    <row r="172" ht="46" customHeight="1">
      <c r="A172" s="24" t="inlineStr">
        <is>
          <t>SEN-012</t>
        </is>
      </c>
      <c r="B172" s="24" t="inlineStr">
        <is>
          <t>Send Email</t>
        </is>
      </c>
      <c r="C172" s="24" t="inlineStr">
        <is>
          <t>Validate email body whitespace truncation parameters</t>
        </is>
      </c>
      <c r="D172" s="24" t="inlineStr">
        <is>
          <t>Rich box contains extensive empty lines formatting adjustments.</t>
        </is>
      </c>
      <c r="E172" s="24" t="inlineStr">
        <is>
          <t>1. Insert 5 carriage returns before typing text.
2. Click dispatch email button element.</t>
        </is>
      </c>
      <c r="F172" s="24" t="inlineStr">
        <is>
          <t>Whitespace injection content</t>
        </is>
      </c>
      <c r="G172" s="24" t="inlineStr">
        <is>
          <t>System sanitizes unnecessary empty space strings to prevent payload waste.</t>
        </is>
      </c>
      <c r="H172" s="24" t="inlineStr"/>
      <c r="I172" s="24" t="inlineStr">
        <is>
          <t>Not Run</t>
        </is>
      </c>
      <c r="J172" s="24" t="inlineStr">
        <is>
          <t>Low</t>
        </is>
      </c>
      <c r="K172" s="24" t="inlineStr">
        <is>
          <t>Functional</t>
        </is>
      </c>
      <c r="L172" s="24" t="inlineStr">
        <is>
          <t>QA Team</t>
        </is>
      </c>
      <c r="M172" s="24" t="inlineStr"/>
      <c r="N172" s="24" t="inlineStr"/>
    </row>
    <row r="173" ht="46" customHeight="1">
      <c r="A173" s="23" t="inlineStr">
        <is>
          <t>SEN-013</t>
        </is>
      </c>
      <c r="B173" s="23" t="inlineStr">
        <is>
          <t>Send Email</t>
        </is>
      </c>
      <c r="C173" s="23" t="inlineStr">
        <is>
          <t>Verify failure alerts during target host rejections</t>
        </is>
      </c>
      <c r="D173" s="23" t="inlineStr">
        <is>
          <t>Target domain setup values are invalid.</t>
        </is>
      </c>
      <c r="E173" s="23" t="inlineStr">
        <is>
          <t>1. Send an email to non-existent address format parameters.</t>
        </is>
      </c>
      <c r="F173" s="23" t="inlineStr">
        <is>
          <t>To: ahmad@thisdomaindefinitelydoesnotexist.com</t>
        </is>
      </c>
      <c r="G173" s="23" t="inlineStr">
        <is>
          <t>The backend captures the bounce framework error and updates delivery statuses to 'Failed' with log metrics.</t>
        </is>
      </c>
      <c r="H173" s="23" t="inlineStr"/>
      <c r="I173" s="23" t="inlineStr">
        <is>
          <t>Not Run</t>
        </is>
      </c>
      <c r="J173" s="23" t="inlineStr">
        <is>
          <t>High</t>
        </is>
      </c>
      <c r="K173" s="23" t="inlineStr">
        <is>
          <t>Functional</t>
        </is>
      </c>
      <c r="L173" s="23" t="inlineStr">
        <is>
          <t>QA Team</t>
        </is>
      </c>
      <c r="M173" s="23" t="inlineStr"/>
      <c r="N173" s="23" t="inlineStr"/>
    </row>
    <row r="174" ht="46" customHeight="1">
      <c r="A174" s="24" t="inlineStr">
        <is>
          <t>SEN-014</t>
        </is>
      </c>
      <c r="B174" s="24" t="inlineStr">
        <is>
          <t>Send Email</t>
        </is>
      </c>
      <c r="C174" s="24" t="inlineStr">
        <is>
          <t>Validate unicode emojis string mapping conversions</t>
        </is>
      </c>
      <c r="D174" s="24" t="inlineStr">
        <is>
          <t>Active modern browser instance.</t>
        </is>
      </c>
      <c r="E174" s="24" t="inlineStr">
        <is>
          <t>1. Paste emoji graphics inside Subject line text field.</t>
        </is>
      </c>
      <c r="F174" s="24" t="inlineStr">
        <is>
          <t>Subject: 'Important Updates!</t>
        </is>
      </c>
      <c r="G174" s="24" t="inlineStr">
        <is>
          <t>Recipient receives the incoming email structure with exact emojis rendering perfectly in their inbox header.</t>
        </is>
      </c>
      <c r="H174" s="24" t="inlineStr"/>
      <c r="I174" s="24" t="inlineStr">
        <is>
          <t>Not Run</t>
        </is>
      </c>
      <c r="J174" s="24" t="inlineStr">
        <is>
          <t>Low</t>
        </is>
      </c>
      <c r="K174" s="24" t="inlineStr">
        <is>
          <t>Functional</t>
        </is>
      </c>
      <c r="L174" s="24" t="inlineStr">
        <is>
          <t>QA Team</t>
        </is>
      </c>
      <c r="M174" s="24" t="inlineStr"/>
      <c r="N174" s="24" t="inlineStr"/>
    </row>
    <row r="175" ht="46" customHeight="1">
      <c r="A175" s="23" t="inlineStr">
        <is>
          <t>SEN-015</t>
        </is>
      </c>
      <c r="B175" s="23" t="inlineStr">
        <is>
          <t>Send Email</t>
        </is>
      </c>
      <c r="C175" s="23" t="inlineStr">
        <is>
          <t>Verify size validation boundary for exact payload limits</t>
        </is>
      </c>
      <c r="D175" s="23" t="inlineStr">
        <is>
          <t>A test dummy file is constructed precisely at the size limit.</t>
        </is>
      </c>
      <c r="E175" s="23" t="inlineStr">
        <is>
          <t>1. Attach file to email form asset tracker.
2. Try sending.</t>
        </is>
      </c>
      <c r="F175" s="23" t="inlineStr">
        <is>
          <t>File size: 15.00 MB exactly</t>
        </is>
      </c>
      <c r="G175" s="23" t="inlineStr">
        <is>
          <t>System accepts the asset boundary constraint cleanly without failure since it doesn't cross the ceiling parameters.</t>
        </is>
      </c>
      <c r="H175" s="23" t="inlineStr"/>
      <c r="I175" s="23" t="inlineStr">
        <is>
          <t>Not Run</t>
        </is>
      </c>
      <c r="J175" s="23" t="inlineStr">
        <is>
          <t>High</t>
        </is>
      </c>
      <c r="K175" s="23" t="inlineStr">
        <is>
          <t>Functional</t>
        </is>
      </c>
      <c r="L175" s="23" t="inlineStr">
        <is>
          <t>QA Team</t>
        </is>
      </c>
      <c r="M175" s="23" t="inlineStr"/>
      <c r="N175" s="23" t="inlineStr"/>
    </row>
    <row r="176" ht="46" customHeight="1">
      <c r="A176" s="24" t="inlineStr">
        <is>
          <t>SEN-016</t>
        </is>
      </c>
      <c r="B176" s="24" t="inlineStr">
        <is>
          <t>Send Email</t>
        </is>
      </c>
      <c r="C176" s="24" t="inlineStr">
        <is>
          <t>Route smoke test</t>
        </is>
      </c>
      <c r="D176" s="24" t="inlineStr">
        <is>
          <t>Development server running</t>
        </is>
      </c>
      <c r="E176" s="24" t="inlineStr">
        <is>
          <t>Open the implemented route on localhost:4200</t>
        </is>
      </c>
      <c r="F176" s="24" t="inlineStr">
        <is>
          <t>See steps</t>
        </is>
      </c>
      <c r="G176" s="24" t="inlineStr">
        <is>
          <t>The Angular route resolves without a 404.</t>
        </is>
      </c>
      <c r="H176" s="24" t="inlineStr">
        <is>
          <t>Not executed: requires isolated test data, credentials, or controlled API failure.</t>
        </is>
      </c>
      <c r="I176" s="24" t="inlineStr">
        <is>
          <t>Not Run</t>
        </is>
      </c>
      <c r="J176" s="24" t="inlineStr">
        <is>
          <t>Medium</t>
        </is>
      </c>
      <c r="K176" s="24" t="inlineStr">
        <is>
          <t>Functional</t>
        </is>
      </c>
      <c r="L176" s="24" t="inlineStr">
        <is>
          <t>Codex QA</t>
        </is>
      </c>
      <c r="M176" s="24" t="inlineStr">
        <is>
          <t>2026-07-20</t>
        </is>
      </c>
      <c r="N176" s="24" t="inlineStr">
        <is>
          <t>Designed from the implemented UI and service contract.</t>
        </is>
      </c>
    </row>
    <row r="177" ht="46" customHeight="1">
      <c r="A177" s="23" t="inlineStr">
        <is>
          <t>SEN-017</t>
        </is>
      </c>
      <c r="B177" s="23" t="inlineStr">
        <is>
          <t>Send Email</t>
        </is>
      </c>
      <c r="C177" s="23" t="inlineStr">
        <is>
          <t>Read-only API availability</t>
        </is>
      </c>
      <c r="D177" s="23" t="inlineStr">
        <is>
          <t>Local API at localhost:8080</t>
        </is>
      </c>
      <c r="E177" s="23" t="inlineStr">
        <is>
          <t>Load page with the local API running</t>
        </is>
      </c>
      <c r="F177" s="23" t="inlineStr">
        <is>
          <t>See steps</t>
        </is>
      </c>
      <c r="G177" s="23" t="inlineStr">
        <is>
          <t>Read-only data requests complete or a user-visible error is shown.</t>
        </is>
      </c>
      <c r="H177" s="23" t="inlineStr">
        <is>
          <t>Not executed: requires isolated test data, credentials, or controlled API failure.</t>
        </is>
      </c>
      <c r="I177" s="23" t="inlineStr">
        <is>
          <t>Not Run</t>
        </is>
      </c>
      <c r="J177" s="23" t="inlineStr">
        <is>
          <t>Medium</t>
        </is>
      </c>
      <c r="K177" s="23" t="inlineStr">
        <is>
          <t>Functional</t>
        </is>
      </c>
      <c r="L177" s="23" t="inlineStr">
        <is>
          <t>Codex QA</t>
        </is>
      </c>
      <c r="M177" s="23" t="inlineStr">
        <is>
          <t>2026-07-20</t>
        </is>
      </c>
      <c r="N177" s="23" t="inlineStr">
        <is>
          <t>Designed from the implemented UI and service contract.</t>
        </is>
      </c>
    </row>
    <row r="178" ht="46" customHeight="1">
      <c r="A178" s="24" t="inlineStr">
        <is>
          <t>SEN-018</t>
        </is>
      </c>
      <c r="B178" s="24" t="inlineStr">
        <is>
          <t>Send Email</t>
        </is>
      </c>
      <c r="C178" s="24" t="inlineStr">
        <is>
          <t>Data-changing regression</t>
        </is>
      </c>
      <c r="D178" s="24" t="inlineStr">
        <is>
          <t>Dedicated test database and account</t>
        </is>
      </c>
      <c r="E178" s="24" t="inlineStr">
        <is>
          <t>Create, edit, or delete a record using an isolated test account</t>
        </is>
      </c>
      <c r="F178" s="24" t="inlineStr">
        <is>
          <t>See steps</t>
        </is>
      </c>
      <c r="G178" s="24" t="inlineStr">
        <is>
          <t>Only the test record is changed and can be cleaned up.</t>
        </is>
      </c>
      <c r="H178" s="24" t="inlineStr">
        <is>
          <t>Not executed: requires isolated test data, credentials, or controlled API failure.</t>
        </is>
      </c>
      <c r="I178" s="24" t="inlineStr">
        <is>
          <t>Not Run</t>
        </is>
      </c>
      <c r="J178" s="24" t="inlineStr">
        <is>
          <t>Medium</t>
        </is>
      </c>
      <c r="K178" s="24" t="inlineStr">
        <is>
          <t>Functional</t>
        </is>
      </c>
      <c r="L178" s="24" t="inlineStr">
        <is>
          <t>Codex QA</t>
        </is>
      </c>
      <c r="M178" s="24" t="inlineStr">
        <is>
          <t>2026-07-20</t>
        </is>
      </c>
      <c r="N178" s="24" t="inlineStr">
        <is>
          <t>Designed from the implemented UI and service contract.</t>
        </is>
      </c>
    </row>
    <row r="179" ht="46" customHeight="1">
      <c r="A179" s="23" t="inlineStr">
        <is>
          <t>TRA-001</t>
        </is>
      </c>
      <c r="B179" s="23" t="inlineStr">
        <is>
          <t>Training Programs</t>
        </is>
      </c>
      <c r="C179" s="23" t="inlineStr">
        <is>
          <t>Training Programs</t>
        </is>
      </c>
      <c r="D179" s="23" t="inlineStr">
        <is>
          <t>At least one training program exists</t>
        </is>
      </c>
      <c r="E179" s="23" t="inlineStr">
        <is>
          <t>1. Navigate to /trainingProgramsList</t>
        </is>
      </c>
      <c r="F179" s="23" t="inlineStr">
        <is>
          <t>N/A</t>
        </is>
      </c>
      <c r="G179" s="23" t="inlineStr">
        <is>
          <t>GET /api/training-programs returns TrainingProgramsList[]; count card matches GET /api/training-programs/count</t>
        </is>
      </c>
      <c r="H179" s="23" t="inlineStr">
        <is>
          <t>returns TrainingProgramsList[]; count card matches GET /api/training-programs/count</t>
        </is>
      </c>
      <c r="I179" s="23" t="inlineStr">
        <is>
          <t>Not Run</t>
        </is>
      </c>
      <c r="J179" s="23" t="inlineStr">
        <is>
          <t>High</t>
        </is>
      </c>
      <c r="K179" s="23" t="inlineStr">
        <is>
          <t>Functional</t>
        </is>
      </c>
      <c r="L179" s="23" t="inlineStr">
        <is>
          <t>QA Team</t>
        </is>
      </c>
      <c r="M179" s="23" t="inlineStr"/>
      <c r="N179" s="23" t="inlineStr"/>
    </row>
    <row r="180" ht="46" customHeight="1">
      <c r="A180" s="24" t="inlineStr">
        <is>
          <t>TRA-002</t>
        </is>
      </c>
      <c r="B180" s="24" t="inlineStr">
        <is>
          <t>Training Programs</t>
        </is>
      </c>
      <c r="C180" s="24" t="inlineStr">
        <is>
          <t>Training Programs</t>
        </is>
      </c>
      <c r="D180" s="24" t="inlineStr">
        <is>
          <t>On /createProgram; at least one engineer exists in dropdown</t>
        </is>
      </c>
      <c r="E180" s="24" t="inlineStr">
        <is>
          <t>1. Fill title, description, select engineer, location, startDate, endDate
2. Submit</t>
        </is>
      </c>
      <c r="F180" s="24" t="inlineStr">
        <is>
          <t>programName, teacherId=userId=&lt;engineerId&gt;</t>
        </is>
      </c>
      <c r="G180" s="24" t="inlineStr">
        <is>
          <t>POST /api/training-programs creates TrainingProgram; 201; alert 'Training Program Created Successfully'; form resets</t>
        </is>
      </c>
      <c r="H180" s="24" t="inlineStr">
        <is>
          <t>'Training Program Created Successfully';</t>
        </is>
      </c>
      <c r="I180" s="24" t="inlineStr">
        <is>
          <t>Not Run</t>
        </is>
      </c>
      <c r="J180" s="24" t="inlineStr">
        <is>
          <t>High</t>
        </is>
      </c>
      <c r="K180" s="24" t="inlineStr">
        <is>
          <t>Functional</t>
        </is>
      </c>
      <c r="L180" s="24" t="inlineStr">
        <is>
          <t>QA Team</t>
        </is>
      </c>
      <c r="M180" s="24" t="inlineStr"/>
      <c r="N180" s="24" t="inlineStr"/>
    </row>
    <row r="181" ht="46" customHeight="1">
      <c r="A181" s="23" t="inlineStr">
        <is>
          <t>TRA-003</t>
        </is>
      </c>
      <c r="B181" s="23" t="inlineStr">
        <is>
          <t>Training Programs</t>
        </is>
      </c>
      <c r="C181" s="23" t="inlineStr">
        <is>
          <t>Training Programs</t>
        </is>
      </c>
      <c r="D181" s="23" t="inlineStr">
        <is>
          <t>On /createProgram</t>
        </is>
      </c>
      <c r="E181" s="23" t="inlineStr">
        <is>
          <t>1. Leave 'title' or 'engineerId' empty
2. Submit</t>
        </is>
      </c>
      <c r="F181" s="23" t="inlineStr">
        <is>
          <t>title=''</t>
        </is>
      </c>
      <c r="G181" s="23" t="inlineStr">
        <is>
          <t>Reactive form validators block submit; trainingForm.markAllAsTouched() triggers field error styles; no API call</t>
        </is>
      </c>
      <c r="H181" s="23" t="inlineStr">
        <is>
          <t>trainingForm.markAllAsTouched() triggers field error styles; no API call</t>
        </is>
      </c>
      <c r="I181" s="23" t="inlineStr">
        <is>
          <t>Not Run</t>
        </is>
      </c>
      <c r="J181" s="23" t="inlineStr">
        <is>
          <t>Medium</t>
        </is>
      </c>
      <c r="K181" s="23" t="inlineStr">
        <is>
          <t>Functional</t>
        </is>
      </c>
      <c r="L181" s="23" t="inlineStr">
        <is>
          <t>QA Team</t>
        </is>
      </c>
      <c r="M181" s="23" t="inlineStr"/>
      <c r="N181" s="23" t="inlineStr"/>
    </row>
    <row r="182" ht="46" customHeight="1">
      <c r="A182" s="24" t="inlineStr">
        <is>
          <t>TRA-004</t>
        </is>
      </c>
      <c r="B182" s="24" t="inlineStr">
        <is>
          <t>Training Programs</t>
        </is>
      </c>
      <c r="C182" s="24" t="inlineStr">
        <is>
          <t>Training Programs</t>
        </is>
      </c>
      <c r="D182" s="24" t="inlineStr">
        <is>
          <t>Backend expects teacherId and userId separately but frontend sends same engineerId for both</t>
        </is>
      </c>
      <c r="E182" s="24" t="inlineStr">
        <is>
          <t>1. Submit create-program form (both teacherId and userId = engineerId)</t>
        </is>
      </c>
      <c r="F182" s="24" t="inlineStr">
        <is>
          <t>teacherId=userId=5</t>
        </is>
      </c>
      <c r="G182" s="24" t="inlineStr">
        <is>
          <t>Verify TrainingProgramService correctly resolves Teacher by id 5 AND User by id 5 — confirm these IDs actually correspond to the same person in this schema (Teacher.id != User.id necessarily); flag as defect if mismatched</t>
        </is>
      </c>
      <c r="H182" s="24" t="inlineStr"/>
      <c r="I182" s="24" t="inlineStr">
        <is>
          <t>Not Run</t>
        </is>
      </c>
      <c r="J182" s="24" t="inlineStr">
        <is>
          <t>High</t>
        </is>
      </c>
      <c r="K182" s="24" t="inlineStr">
        <is>
          <t>Functional</t>
        </is>
      </c>
      <c r="L182" s="24" t="inlineStr">
        <is>
          <t>QA Team</t>
        </is>
      </c>
      <c r="M182" s="24" t="inlineStr"/>
      <c r="N182" s="24" t="inlineStr"/>
    </row>
    <row r="183" ht="46" customHeight="1">
      <c r="A183" s="23" t="inlineStr">
        <is>
          <t>TRA-005</t>
        </is>
      </c>
      <c r="B183" s="23" t="inlineStr">
        <is>
          <t>Training Programs</t>
        </is>
      </c>
      <c r="C183" s="23" t="inlineStr">
        <is>
          <t>Training Programs</t>
        </is>
      </c>
      <c r="D183" s="23" t="inlineStr">
        <is>
          <t>Valid program id</t>
        </is>
      </c>
      <c r="E183" s="23" t="inlineStr">
        <is>
          <t>1. Navigate to /programs/:id</t>
        </is>
      </c>
      <c r="F183" s="23" t="inlineStr">
        <is>
          <t>N/A</t>
        </is>
      </c>
      <c r="G183" s="23" t="inlineStr">
        <is>
          <t>GET /api/training-programs/{id} loads programName, description, teacher name, dates, location, totalStudents; doughnut chart renders with correct in-program vs other-students split</t>
        </is>
      </c>
      <c r="H183" s="23" t="inlineStr">
        <is>
          <t>loads programName, description, teacher name, dates, location, totalStudents; doughnut chart renders with correct in-program vs other-students split</t>
        </is>
      </c>
      <c r="I183" s="23" t="inlineStr">
        <is>
          <t>Not Run</t>
        </is>
      </c>
      <c r="J183" s="23" t="inlineStr">
        <is>
          <t>High</t>
        </is>
      </c>
      <c r="K183" s="23" t="inlineStr">
        <is>
          <t>Functional</t>
        </is>
      </c>
      <c r="L183" s="23" t="inlineStr">
        <is>
          <t>QA Team</t>
        </is>
      </c>
      <c r="M183" s="23" t="inlineStr"/>
      <c r="N183" s="23" t="inlineStr"/>
    </row>
    <row r="184" ht="46" customHeight="1">
      <c r="A184" s="24" t="inlineStr">
        <is>
          <t>TRA-006</t>
        </is>
      </c>
      <c r="B184" s="24" t="inlineStr">
        <is>
          <t>Training Programs</t>
        </is>
      </c>
      <c r="C184" s="24" t="inlineStr">
        <is>
          <t>Training Programs</t>
        </is>
      </c>
      <c r="D184" s="24" t="inlineStr">
        <is>
          <t>None</t>
        </is>
      </c>
      <c r="E184" s="24" t="inlineStr">
        <is>
          <t>1. Navigate to /programs/999999</t>
        </is>
      </c>
      <c r="F184" s="24" t="inlineStr">
        <is>
          <t>N/A</t>
        </is>
      </c>
      <c r="G184" s="24" t="inlineStr">
        <is>
          <t>Backend throws 'program not found'; frontend does not crash, ideally shows friendly message</t>
        </is>
      </c>
      <c r="H184" s="24" t="inlineStr">
        <is>
          <t>'program not found';</t>
        </is>
      </c>
      <c r="I184" s="24" t="inlineStr">
        <is>
          <t>Not Run</t>
        </is>
      </c>
      <c r="J184" s="24" t="inlineStr">
        <is>
          <t>Medium</t>
        </is>
      </c>
      <c r="K184" s="24" t="inlineStr">
        <is>
          <t>Functional</t>
        </is>
      </c>
      <c r="L184" s="24" t="inlineStr">
        <is>
          <t>QA Team</t>
        </is>
      </c>
      <c r="M184" s="24" t="inlineStr"/>
      <c r="N184" s="24" t="inlineStr"/>
    </row>
    <row r="185" ht="46" customHeight="1">
      <c r="A185" s="23" t="inlineStr">
        <is>
          <t>TRA-007</t>
        </is>
      </c>
      <c r="B185" s="23" t="inlineStr">
        <is>
          <t>Training Programs</t>
        </is>
      </c>
      <c r="C185" s="23" t="inlineStr">
        <is>
          <t>Training Programs</t>
        </is>
      </c>
      <c r="D185" s="23" t="inlineStr">
        <is>
          <t>Data inconsistency scenario</t>
        </is>
      </c>
      <c r="E185" s="23" t="inlineStr">
        <is>
          <t>1. Load program overview where inProgram &gt; studentCount</t>
        </is>
      </c>
      <c r="F185" s="23" t="inlineStr">
        <is>
          <t>N/A</t>
        </is>
      </c>
      <c r="G185" s="23" t="inlineStr">
        <is>
          <t>createChart() correctly guards this case ('Invalid chart data' logged); chart should not render negative segment</t>
        </is>
      </c>
      <c r="H185" s="23" t="inlineStr">
        <is>
          <t>('Invalid chart data' logged);</t>
        </is>
      </c>
      <c r="I185" s="23" t="inlineStr">
        <is>
          <t>Not Run</t>
        </is>
      </c>
      <c r="J185" s="23" t="inlineStr">
        <is>
          <t>Low</t>
        </is>
      </c>
      <c r="K185" s="23" t="inlineStr">
        <is>
          <t>Functional</t>
        </is>
      </c>
      <c r="L185" s="23" t="inlineStr">
        <is>
          <t>QA Team</t>
        </is>
      </c>
      <c r="M185" s="23" t="inlineStr"/>
      <c r="N185" s="23" t="inlineStr"/>
    </row>
    <row r="186" ht="46" customHeight="1">
      <c r="A186" s="24" t="inlineStr">
        <is>
          <t>TRA-008</t>
        </is>
      </c>
      <c r="B186" s="24" t="inlineStr">
        <is>
          <t>Training Programs</t>
        </is>
      </c>
      <c r="C186" s="24" t="inlineStr">
        <is>
          <t>Training Programs</t>
        </is>
      </c>
      <c r="D186" s="24" t="inlineStr">
        <is>
          <t>Navigate to /programs/:id/students</t>
        </is>
      </c>
      <c r="E186" s="24" t="inlineStr">
        <is>
          <t>1. Click 'Students' tab from program overview</t>
        </is>
      </c>
      <c r="F186" s="24" t="inlineStr">
        <is>
          <t>N/A</t>
        </is>
      </c>
      <c r="G186" s="24" t="inlineStr">
        <is>
          <t>Table renders; NOTE: table cells for student name/grade/attendance/status currently appear empty in template — verify data binding is implemented, not just placeholder &lt;td&gt;&lt;/td&gt;</t>
        </is>
      </c>
      <c r="H186" s="24" t="inlineStr">
        <is>
          <t>Table renders; NOTE: table cells for student name/grade/attendance/status currently appear empty in template — verify data binding is implemented, not just placeholder &lt;td&gt;&lt;/td&gt;</t>
        </is>
      </c>
      <c r="I186" s="24" t="inlineStr">
        <is>
          <t>Not Run</t>
        </is>
      </c>
      <c r="J186" s="24" t="inlineStr">
        <is>
          <t>High</t>
        </is>
      </c>
      <c r="K186" s="24" t="inlineStr">
        <is>
          <t>Functional</t>
        </is>
      </c>
      <c r="L186" s="24" t="inlineStr">
        <is>
          <t>QA Team</t>
        </is>
      </c>
      <c r="M186" s="24" t="inlineStr"/>
      <c r="N186" s="24" t="inlineStr"/>
    </row>
    <row r="187" ht="46" customHeight="1">
      <c r="A187" s="23" t="inlineStr">
        <is>
          <t>TRA-009</t>
        </is>
      </c>
      <c r="B187" s="23" t="inlineStr">
        <is>
          <t>Training Programs</t>
        </is>
      </c>
      <c r="C187" s="23" t="inlineStr">
        <is>
          <t>Training Programs</t>
        </is>
      </c>
      <c r="D187" s="23" t="inlineStr">
        <is>
          <t>Navigate to /programs/:id/engineers</t>
        </is>
      </c>
      <c r="E187" s="23" t="inlineStr">
        <is>
          <t>1. Click 'Engineers' tab from program overview</t>
        </is>
      </c>
      <c r="F187" s="23" t="inlineStr">
        <is>
          <t>N/A</t>
        </is>
      </c>
      <c r="G187" s="23" t="inlineStr">
        <is>
          <t>Assigned engineer's name, experience, and rating render correctly from getEngineer(data.teacherId) and getEngineerCards(data.teacherId)</t>
        </is>
      </c>
      <c r="H187" s="23" t="inlineStr">
        <is>
          <t>Assigned engineer's name, experience, and rating render correctly</t>
        </is>
      </c>
      <c r="I187" s="23" t="inlineStr">
        <is>
          <t>Not Run</t>
        </is>
      </c>
      <c r="J187" s="23" t="inlineStr">
        <is>
          <t>Medium</t>
        </is>
      </c>
      <c r="K187" s="23" t="inlineStr">
        <is>
          <t>Functional</t>
        </is>
      </c>
      <c r="L187" s="23" t="inlineStr">
        <is>
          <t>QA Team</t>
        </is>
      </c>
      <c r="M187" s="23" t="inlineStr"/>
      <c r="N187" s="23" t="inlineStr"/>
    </row>
    <row r="188" ht="46" customHeight="1">
      <c r="A188" s="24" t="inlineStr">
        <is>
          <t>TRA-010</t>
        </is>
      </c>
      <c r="B188" s="24" t="inlineStr">
        <is>
          <t>Training Programs</t>
        </is>
      </c>
      <c r="C188" s="24" t="inlineStr">
        <is>
          <t>Training Programs</t>
        </is>
      </c>
      <c r="D188" s="24" t="inlineStr">
        <is>
          <t>Program list loaded</t>
        </is>
      </c>
      <c r="E188" s="24" t="inlineStr">
        <is>
          <t>1. Click delete icon on a program row
2. Confirm dialog</t>
        </is>
      </c>
      <c r="F188" s="24" t="inlineStr">
        <is>
          <t>N/A</t>
        </is>
      </c>
      <c r="G188" s="24" t="inlineStr">
        <is>
          <t>DELETE /api/training-programs/{id} returns 204; alert 'Program deleted successfully'; NOTE: verify UI list actually refreshes/removes the row after deletion (getAllPrograms() is not called after delete in current code — flag as defect)</t>
        </is>
      </c>
      <c r="H188" s="24" t="inlineStr">
        <is>
          <t>Program deleted successfully';</t>
        </is>
      </c>
      <c r="I188" s="24" t="inlineStr">
        <is>
          <t>Not Run</t>
        </is>
      </c>
      <c r="J188" s="24" t="inlineStr">
        <is>
          <t>High</t>
        </is>
      </c>
      <c r="K188" s="24" t="inlineStr">
        <is>
          <t>Functional</t>
        </is>
      </c>
      <c r="L188" s="24" t="inlineStr">
        <is>
          <t>QA Team</t>
        </is>
      </c>
      <c r="M188" s="24" t="inlineStr"/>
      <c r="N188" s="24" t="inlineStr"/>
    </row>
    <row r="189" ht="46" customHeight="1">
      <c r="A189" s="23" t="inlineStr">
        <is>
          <t>TRA-011</t>
        </is>
      </c>
      <c r="B189" s="23" t="inlineStr">
        <is>
          <t>Training Programs</t>
        </is>
      </c>
      <c r="C189" s="23" t="inlineStr">
        <is>
          <t>Training Programs</t>
        </is>
      </c>
      <c r="D189" s="23" t="inlineStr">
        <is>
          <t>Program list loaded</t>
        </is>
      </c>
      <c r="E189" s="23" t="inlineStr">
        <is>
          <t>1. Click delete icon
2. Click Cancel on confirm()</t>
        </is>
      </c>
      <c r="F189" s="23" t="inlineStr">
        <is>
          <t>N/A</t>
        </is>
      </c>
      <c r="G189" s="23" t="inlineStr">
        <is>
          <t>No API call made; program remains</t>
        </is>
      </c>
      <c r="H189" s="23" t="inlineStr">
        <is>
          <t>No API call made; program remains</t>
        </is>
      </c>
      <c r="I189" s="23" t="inlineStr">
        <is>
          <t>Not Run</t>
        </is>
      </c>
      <c r="J189" s="23" t="inlineStr">
        <is>
          <t>Low</t>
        </is>
      </c>
      <c r="K189" s="23" t="inlineStr">
        <is>
          <t>Functional</t>
        </is>
      </c>
      <c r="L189" s="23" t="inlineStr">
        <is>
          <t>QA Team</t>
        </is>
      </c>
      <c r="M189" s="23" t="inlineStr"/>
      <c r="N189" s="23" t="inlineStr"/>
    </row>
    <row r="190" ht="46" customHeight="1">
      <c r="A190" s="24" t="inlineStr">
        <is>
          <t>TRA-012</t>
        </is>
      </c>
      <c r="B190" s="24" t="inlineStr">
        <is>
          <t>Training Programs</t>
        </is>
      </c>
      <c r="C190" s="24" t="inlineStr">
        <is>
          <t>Training Programs</t>
        </is>
      </c>
      <c r="D190" s="24" t="inlineStr">
        <is>
          <t>teacherId belongs to Engineer A; userId belongs to unrelated User B</t>
        </is>
      </c>
      <c r="E190" s="24" t="inlineStr">
        <is>
          <t>1. POST with mismatched teacherId/userId pair</t>
        </is>
      </c>
      <c r="F190" s="24" t="inlineStr">
        <is>
          <t>n/a</t>
        </is>
      </c>
      <c r="G190" s="24" t="inlineStr">
        <is>
          <t>EXPECTED: rejected as inconsistent</t>
        </is>
      </c>
      <c r="H190" s="24" t="inlineStr">
        <is>
          <t>(see BUG-13): no cross-check exists between teacherId and userId, allowing a program to be linked to two unrelated people</t>
        </is>
      </c>
      <c r="I190" s="24" t="inlineStr">
        <is>
          <t>Not Run</t>
        </is>
      </c>
      <c r="J190" s="24" t="inlineStr">
        <is>
          <t>Medium</t>
        </is>
      </c>
      <c r="K190" s="24" t="inlineStr">
        <is>
          <t>Functional</t>
        </is>
      </c>
      <c r="L190" s="24" t="inlineStr">
        <is>
          <t>QA Team</t>
        </is>
      </c>
      <c r="M190" s="24" t="inlineStr"/>
      <c r="N190" s="24" t="inlineStr"/>
    </row>
    <row r="191" ht="46" customHeight="1">
      <c r="A191" s="23" t="inlineStr">
        <is>
          <t>TRA-013</t>
        </is>
      </c>
      <c r="B191" s="23" t="inlineStr">
        <is>
          <t>Training Programs</t>
        </is>
      </c>
      <c r="C191" s="23" t="inlineStr">
        <is>
          <t>Training Programs</t>
        </is>
      </c>
      <c r="D191" s="23" t="inlineStr">
        <is>
          <t>Program's teacher has students assigned</t>
        </is>
      </c>
      <c r="E191" s="23" t="inlineStr">
        <is>
          <t>1. GET /api/training-programs/1
2. Compare totalStudents to actual enrolled count</t>
        </is>
      </c>
      <c r="F191" s="23" t="inlineStr">
        <is>
          <t>n/a</t>
        </is>
      </c>
      <c r="G191" s="23" t="inlineStr">
        <is>
          <t>totalStudents matches countStudentsByTeacherId result accurately</t>
        </is>
      </c>
      <c r="H191" s="23" t="inlineStr"/>
      <c r="I191" s="23" t="inlineStr">
        <is>
          <t>Not Run</t>
        </is>
      </c>
      <c r="J191" s="23" t="inlineStr">
        <is>
          <t>meduim</t>
        </is>
      </c>
      <c r="K191" s="23" t="inlineStr">
        <is>
          <t>Functional</t>
        </is>
      </c>
      <c r="L191" s="23" t="inlineStr">
        <is>
          <t>QA Team</t>
        </is>
      </c>
      <c r="M191" s="23" t="inlineStr"/>
      <c r="N191" s="23" t="inlineStr"/>
    </row>
    <row r="192" ht="46" customHeight="1">
      <c r="A192" s="24" t="inlineStr">
        <is>
          <t>TRA-014</t>
        </is>
      </c>
      <c r="B192" s="24" t="inlineStr">
        <is>
          <t>Training Programs</t>
        </is>
      </c>
      <c r="C192" s="24" t="inlineStr">
        <is>
          <t>Training Programs</t>
        </is>
      </c>
      <c r="D192" s="24" t="inlineStr">
        <is>
          <t>Valid program id</t>
        </is>
      </c>
      <c r="E192" s="24" t="inlineStr">
        <is>
          <t>1. PUT /api/training-programs/{id} with new programName/description/dates/location</t>
        </is>
      </c>
      <c r="F192" s="24" t="inlineStr">
        <is>
          <t>N/A</t>
        </is>
      </c>
      <c r="G192" s="24" t="inlineStr">
        <is>
          <t>TrainingProgramResponseDTO returned with updated fields; NOTE: no 'Edit Program' UI form currently wired to this endpoint — verify or flag as missing feature</t>
        </is>
      </c>
      <c r="H192" s="24" t="inlineStr">
        <is>
          <t>updated not succseffuly</t>
        </is>
      </c>
      <c r="I192" s="24" t="inlineStr">
        <is>
          <t>Not Run</t>
        </is>
      </c>
      <c r="J192" s="24" t="inlineStr">
        <is>
          <t>Medium</t>
        </is>
      </c>
      <c r="K192" s="24" t="inlineStr">
        <is>
          <t>Functional</t>
        </is>
      </c>
      <c r="L192" s="24" t="inlineStr">
        <is>
          <t>QA Team</t>
        </is>
      </c>
      <c r="M192" s="24" t="inlineStr"/>
      <c r="N192" s="24" t="inlineStr"/>
    </row>
    <row r="193" ht="46" customHeight="1">
      <c r="A193" s="23" t="inlineStr">
        <is>
          <t>TRA-015</t>
        </is>
      </c>
      <c r="B193" s="23" t="inlineStr">
        <is>
          <t>Training Programs List</t>
        </is>
      </c>
      <c r="C193" s="23" t="inlineStr">
        <is>
          <t>Verify status counter badges metric accuracy</t>
        </is>
      </c>
      <c r="D193" s="23" t="inlineStr">
        <is>
          <t>Database holds distinct variable status combinations.</t>
        </is>
      </c>
      <c r="E193" s="23" t="inlineStr">
        <is>
          <t>1. Compare metrics visible inside status summary boxes with rows calculation datasets.</t>
        </is>
      </c>
      <c r="F193" s="23" t="inlineStr">
        <is>
          <t>N/A</t>
        </is>
      </c>
      <c r="G193" s="23" t="inlineStr">
        <is>
          <t>Numbers correlate flawlessly with matching active record distributions in the database tracking schema.</t>
        </is>
      </c>
      <c r="H193" s="23" t="inlineStr"/>
      <c r="I193" s="23" t="inlineStr">
        <is>
          <t>Not Run</t>
        </is>
      </c>
      <c r="J193" s="23" t="inlineStr">
        <is>
          <t>Medium</t>
        </is>
      </c>
      <c r="K193" s="23" t="inlineStr">
        <is>
          <t>Functional</t>
        </is>
      </c>
      <c r="L193" s="23" t="inlineStr">
        <is>
          <t>QA Team</t>
        </is>
      </c>
      <c r="M193" s="23" t="inlineStr"/>
      <c r="N193" s="23" t="inlineStr"/>
    </row>
    <row r="194" ht="46" customHeight="1">
      <c r="A194" s="24" t="inlineStr">
        <is>
          <t>TRA-016</t>
        </is>
      </c>
      <c r="B194" s="24" t="inlineStr">
        <is>
          <t>Training Programs List</t>
        </is>
      </c>
      <c r="C194" s="24" t="inlineStr">
        <is>
          <t>Validate infinite scrolling viewport list adjustments</t>
        </is>
      </c>
      <c r="D194" s="24" t="inlineStr">
        <is>
          <t>Over 200 program records exist in data tables.</t>
        </is>
      </c>
      <c r="E194" s="24" t="inlineStr">
        <is>
          <t>1. Scroll rapidly to bottom page grid bounds.</t>
        </is>
      </c>
      <c r="F194" s="24" t="inlineStr">
        <is>
          <t>N/A</t>
        </is>
      </c>
      <c r="G194" s="24" t="inlineStr">
        <is>
          <t>Subsequent index elements load asynchronously with fluid scrolling performance.</t>
        </is>
      </c>
      <c r="H194" s="24" t="inlineStr"/>
      <c r="I194" s="24" t="inlineStr">
        <is>
          <t>Not Run</t>
        </is>
      </c>
      <c r="J194" s="24" t="inlineStr">
        <is>
          <t>Medium</t>
        </is>
      </c>
      <c r="K194" s="24" t="inlineStr">
        <is>
          <t>Functional</t>
        </is>
      </c>
      <c r="L194" s="24" t="inlineStr">
        <is>
          <t>QA Team</t>
        </is>
      </c>
      <c r="M194" s="24" t="inlineStr"/>
      <c r="N194" s="24" t="inlineStr"/>
    </row>
    <row r="195" ht="46" customHeight="1">
      <c r="A195" s="23" t="inlineStr">
        <is>
          <t>TRA-017</t>
        </is>
      </c>
      <c r="B195" s="23" t="inlineStr">
        <is>
          <t>Training Programs List</t>
        </is>
      </c>
      <c r="C195" s="23" t="inlineStr">
        <is>
          <t>Verify double-click intercept prevention parameters</t>
        </is>
      </c>
      <c r="D195" s="23" t="inlineStr">
        <is>
          <t>Form submission interface elements are active.</t>
        </is>
      </c>
      <c r="E195" s="23" t="inlineStr">
        <is>
          <t>1. Click the 'Save Program' element button link twice in rapid succession.</t>
        </is>
      </c>
      <c r="F195" s="23" t="inlineStr">
        <is>
          <t>Double action click</t>
        </is>
      </c>
      <c r="G195" s="23" t="inlineStr">
        <is>
          <t>The interface disables the interaction handle immediately on first tap, blocking the secondary click.</t>
        </is>
      </c>
      <c r="H195" s="23" t="inlineStr"/>
      <c r="I195" s="23" t="inlineStr">
        <is>
          <t>Not Run</t>
        </is>
      </c>
      <c r="J195" s="23" t="inlineStr">
        <is>
          <t>High</t>
        </is>
      </c>
      <c r="K195" s="23" t="inlineStr">
        <is>
          <t>Functional</t>
        </is>
      </c>
      <c r="L195" s="23" t="inlineStr">
        <is>
          <t>QA Team</t>
        </is>
      </c>
      <c r="M195" s="23" t="inlineStr"/>
      <c r="N195" s="23" t="inlineStr"/>
    </row>
    <row r="196" ht="46" customHeight="1">
      <c r="A196" s="24" t="inlineStr">
        <is>
          <t>TRA-018</t>
        </is>
      </c>
      <c r="B196" s="24" t="inlineStr">
        <is>
          <t>Training Programs List</t>
        </is>
      </c>
      <c r="C196" s="24" t="inlineStr">
        <is>
          <t>Verify bulk action deletion constraint rules</t>
        </is>
      </c>
      <c r="D196" s="24" t="inlineStr">
        <is>
          <t>One course item contains active active student enrollment parameters.</t>
        </is>
      </c>
      <c r="E196" s="24" t="inlineStr">
        <is>
          <t>1. Select 5 programs.
2. Select bulk delete from action dropdown choices.</t>
        </is>
      </c>
      <c r="F196" s="24" t="inlineStr">
        <is>
          <t>N/A</t>
        </is>
      </c>
      <c r="G196" s="24" t="inlineStr">
        <is>
          <t>Transaction aborts gracefully, popping a notification stating: 'Cannot delete course ID 4, active student dependencies exist'.</t>
        </is>
      </c>
      <c r="H196" s="24" t="inlineStr"/>
      <c r="I196" s="24" t="inlineStr">
        <is>
          <t>Not Run</t>
        </is>
      </c>
      <c r="J196" s="24" t="inlineStr">
        <is>
          <t>High</t>
        </is>
      </c>
      <c r="K196" s="24" t="inlineStr">
        <is>
          <t>Functional</t>
        </is>
      </c>
      <c r="L196" s="24" t="inlineStr">
        <is>
          <t>QA Team</t>
        </is>
      </c>
      <c r="M196" s="24" t="inlineStr"/>
      <c r="N196" s="24" t="inlineStr"/>
    </row>
    <row r="197" ht="46" customHeight="1">
      <c r="A197" s="23" t="inlineStr">
        <is>
          <t>TRA-019</t>
        </is>
      </c>
      <c r="B197" s="23" t="inlineStr">
        <is>
          <t>Training Programs List</t>
        </is>
      </c>
      <c r="C197" s="23" t="inlineStr">
        <is>
          <t>Validate layout rendering under localized text variables</t>
        </is>
      </c>
      <c r="D197" s="23" t="inlineStr">
        <is>
          <t>Localization dashboard widgets are accessible.</t>
        </is>
      </c>
      <c r="E197" s="23" t="inlineStr">
        <is>
          <t>1. Toggle dashboard system view from English text settings into Arabic text layouts.</t>
        </is>
      </c>
      <c r="F197" s="23" t="inlineStr">
        <is>
          <t>N/A</t>
        </is>
      </c>
      <c r="G197" s="23" t="inlineStr">
        <is>
          <t>Text boxes invert layouts to RTL orientation with all margins and text sizes adapting nicely.</t>
        </is>
      </c>
      <c r="H197" s="23" t="inlineStr"/>
      <c r="I197" s="23" t="inlineStr">
        <is>
          <t>Not Run</t>
        </is>
      </c>
      <c r="J197" s="23" t="inlineStr">
        <is>
          <t>Low</t>
        </is>
      </c>
      <c r="K197" s="23" t="inlineStr">
        <is>
          <t>Functional</t>
        </is>
      </c>
      <c r="L197" s="23" t="inlineStr">
        <is>
          <t>QA Team</t>
        </is>
      </c>
      <c r="M197" s="23" t="inlineStr"/>
      <c r="N197" s="23" t="inlineStr"/>
    </row>
    <row r="198" ht="46" customHeight="1">
      <c r="A198" s="24" t="inlineStr">
        <is>
          <t>TRA-020</t>
        </is>
      </c>
      <c r="B198" s="24" t="inlineStr">
        <is>
          <t>Training Programs List</t>
        </is>
      </c>
      <c r="C198" s="24" t="inlineStr">
        <is>
          <t>Route smoke test</t>
        </is>
      </c>
      <c r="D198" s="24" t="inlineStr">
        <is>
          <t>Development server running</t>
        </is>
      </c>
      <c r="E198" s="24" t="inlineStr">
        <is>
          <t>Open the implemented route on localhost:4200</t>
        </is>
      </c>
      <c r="F198" s="24" t="inlineStr">
        <is>
          <t>See steps</t>
        </is>
      </c>
      <c r="G198" s="24" t="inlineStr">
        <is>
          <t>The Angular route resolves without a 404.</t>
        </is>
      </c>
      <c r="H198" s="24" t="inlineStr">
        <is>
          <t>Not executed: requires isolated test data, credentials, or controlled API failure.</t>
        </is>
      </c>
      <c r="I198" s="24" t="inlineStr">
        <is>
          <t>Not Run</t>
        </is>
      </c>
      <c r="J198" s="24" t="inlineStr">
        <is>
          <t>Medium</t>
        </is>
      </c>
      <c r="K198" s="24" t="inlineStr">
        <is>
          <t>Functional</t>
        </is>
      </c>
      <c r="L198" s="24" t="inlineStr">
        <is>
          <t>Codex QA</t>
        </is>
      </c>
      <c r="M198" s="24" t="inlineStr">
        <is>
          <t>2026-07-20</t>
        </is>
      </c>
      <c r="N198" s="24" t="inlineStr">
        <is>
          <t>Designed from the implemented UI and service contract.</t>
        </is>
      </c>
    </row>
    <row r="199" ht="46" customHeight="1">
      <c r="A199" s="23" t="inlineStr">
        <is>
          <t>TRA-021</t>
        </is>
      </c>
      <c r="B199" s="23" t="inlineStr">
        <is>
          <t>Training Programs List</t>
        </is>
      </c>
      <c r="C199" s="23" t="inlineStr">
        <is>
          <t>Read-only API availability</t>
        </is>
      </c>
      <c r="D199" s="23" t="inlineStr">
        <is>
          <t>Local API at localhost:8080</t>
        </is>
      </c>
      <c r="E199" s="23" t="inlineStr">
        <is>
          <t>Load page with the local API running</t>
        </is>
      </c>
      <c r="F199" s="23" t="inlineStr">
        <is>
          <t>See steps</t>
        </is>
      </c>
      <c r="G199" s="23" t="inlineStr">
        <is>
          <t>Read-only data requests complete or a user-visible error is shown.</t>
        </is>
      </c>
      <c r="H199" s="23" t="inlineStr">
        <is>
          <t>Not executed: requires isolated test data, credentials, or controlled API failure.</t>
        </is>
      </c>
      <c r="I199" s="23" t="inlineStr">
        <is>
          <t>Not Run</t>
        </is>
      </c>
      <c r="J199" s="23" t="inlineStr">
        <is>
          <t>Medium</t>
        </is>
      </c>
      <c r="K199" s="23" t="inlineStr">
        <is>
          <t>Functional</t>
        </is>
      </c>
      <c r="L199" s="23" t="inlineStr">
        <is>
          <t>Codex QA</t>
        </is>
      </c>
      <c r="M199" s="23" t="inlineStr">
        <is>
          <t>2026-07-20</t>
        </is>
      </c>
      <c r="N199" s="23" t="inlineStr">
        <is>
          <t>Designed from the implemented UI and service contract.</t>
        </is>
      </c>
    </row>
    <row r="200" ht="46" customHeight="1">
      <c r="A200" s="24" t="inlineStr">
        <is>
          <t>TRA-022</t>
        </is>
      </c>
      <c r="B200" s="24" t="inlineStr">
        <is>
          <t>Training Programs List</t>
        </is>
      </c>
      <c r="C200" s="24" t="inlineStr">
        <is>
          <t>Data-changing regression</t>
        </is>
      </c>
      <c r="D200" s="24" t="inlineStr">
        <is>
          <t>Dedicated test database and account</t>
        </is>
      </c>
      <c r="E200" s="24" t="inlineStr">
        <is>
          <t>Create, edit, or delete a record using an isolated test account</t>
        </is>
      </c>
      <c r="F200" s="24" t="inlineStr">
        <is>
          <t>See steps</t>
        </is>
      </c>
      <c r="G200" s="24" t="inlineStr">
        <is>
          <t>Only the test record is changed and can be cleaned up.</t>
        </is>
      </c>
      <c r="H200" s="24" t="inlineStr">
        <is>
          <t>Not executed: requires isolated test data, credentials, or controlled API failure.</t>
        </is>
      </c>
      <c r="I200" s="24" t="inlineStr">
        <is>
          <t>Not Run</t>
        </is>
      </c>
      <c r="J200" s="24" t="inlineStr">
        <is>
          <t>Medium</t>
        </is>
      </c>
      <c r="K200" s="24" t="inlineStr">
        <is>
          <t>Functional</t>
        </is>
      </c>
      <c r="L200" s="24" t="inlineStr">
        <is>
          <t>Codex QA</t>
        </is>
      </c>
      <c r="M200" s="24" t="inlineStr">
        <is>
          <t>2026-07-20</t>
        </is>
      </c>
      <c r="N200" s="24" t="inlineStr">
        <is>
          <t>Designed from the implemented UI and service contract.</t>
        </is>
      </c>
    </row>
    <row r="201" ht="46" customHeight="1">
      <c r="A201" s="23" t="inlineStr">
        <is>
          <t>EDI-001</t>
        </is>
      </c>
      <c r="B201" s="23" t="inlineStr">
        <is>
          <t>Edit Training Program</t>
        </is>
      </c>
      <c r="C201" s="23" t="inlineStr">
        <is>
          <t>Automatic Data Fetching</t>
        </is>
      </c>
      <c r="D201" s="23" t="inlineStr">
        <is>
          <t>A training program with ID 50 exists.</t>
        </is>
      </c>
      <c r="E201" s="23" t="inlineStr">
        <is>
          <t>1. Navigate to Training Programs.
2. Click 'Edit' next to Program ID 50.</t>
        </is>
      </c>
      <c r="F201" s="23" t="inlineStr">
        <is>
          <t>Program ID: 50</t>
        </is>
      </c>
      <c r="G201" s="23" t="inlineStr">
        <is>
          <t>Edit page opens with current Program Name, Duration, and Instructor details fully populated.</t>
        </is>
      </c>
      <c r="H201" s="23" t="inlineStr"/>
      <c r="I201" s="23" t="inlineStr">
        <is>
          <t>Passed</t>
        </is>
      </c>
      <c r="J201" s="23" t="inlineStr">
        <is>
          <t>High</t>
        </is>
      </c>
      <c r="K201" s="23" t="inlineStr">
        <is>
          <t>Functional</t>
        </is>
      </c>
      <c r="L201" s="23" t="inlineStr">
        <is>
          <t>QA Team</t>
        </is>
      </c>
      <c r="M201" s="23" t="inlineStr"/>
      <c r="N201" s="23" t="inlineStr"/>
    </row>
    <row r="202" ht="46" customHeight="1">
      <c r="A202" s="24" t="inlineStr">
        <is>
          <t>EDI-002</t>
        </is>
      </c>
      <c r="B202" s="24" t="inlineStr">
        <is>
          <t>Edit Training Program</t>
        </is>
      </c>
      <c r="C202" s="24" t="inlineStr">
        <is>
          <t>Successful Program Update</t>
        </is>
      </c>
      <c r="D202" s="24" t="inlineStr">
        <is>
          <t>User is on the Edit Program page.</t>
        </is>
      </c>
      <c r="E202" s="24" t="inlineStr">
        <is>
          <t>1. Change Program Duration.
2. Click the 'Save Changes' button.</t>
        </is>
      </c>
      <c r="F202" s="24" t="inlineStr">
        <is>
          <t>Duration changed from 20 to 30 hours</t>
        </is>
      </c>
      <c r="G202" s="24" t="inlineStr">
        <is>
          <t>A success message appears, database is updated, and user is redirected back to the list.</t>
        </is>
      </c>
      <c r="H202" s="24" t="inlineStr"/>
      <c r="I202" s="24" t="inlineStr">
        <is>
          <t>Passed</t>
        </is>
      </c>
      <c r="J202" s="24" t="inlineStr">
        <is>
          <t>High</t>
        </is>
      </c>
      <c r="K202" s="24" t="inlineStr">
        <is>
          <t>Functional</t>
        </is>
      </c>
      <c r="L202" s="24" t="inlineStr">
        <is>
          <t>QA Team</t>
        </is>
      </c>
      <c r="M202" s="24" t="inlineStr"/>
      <c r="N202" s="24" t="inlineStr"/>
    </row>
    <row r="203" ht="46" customHeight="1">
      <c r="A203" s="23" t="inlineStr">
        <is>
          <t>EDI-003</t>
        </is>
      </c>
      <c r="B203" s="23" t="inlineStr">
        <is>
          <t>Edit Training Program</t>
        </is>
      </c>
      <c r="C203" s="23" t="inlineStr">
        <is>
          <t>Logical Date Constraint Validation</t>
        </is>
      </c>
      <c r="D203" s="23" t="inlineStr">
        <is>
          <t>User is on the Edit Program page.</t>
        </is>
      </c>
      <c r="E203" s="23" t="inlineStr">
        <is>
          <t>1. Adjust End Date to a calendar date before the Start Date.
2. Click 'Save'.</t>
        </is>
      </c>
      <c r="F203" s="23" t="inlineStr">
        <is>
          <t>Start: 2026-08-01, End: 2026-07-15</t>
        </is>
      </c>
      <c r="G203" s="23" t="inlineStr">
        <is>
          <t>System rejects the save action and displays error: 'End Date cannot be earlier than Start Date.'</t>
        </is>
      </c>
      <c r="H203" s="23" t="inlineStr"/>
      <c r="I203" s="23" t="inlineStr">
        <is>
          <t>Passed</t>
        </is>
      </c>
      <c r="J203" s="23" t="inlineStr">
        <is>
          <t>High</t>
        </is>
      </c>
      <c r="K203" s="23" t="inlineStr">
        <is>
          <t>Functional</t>
        </is>
      </c>
      <c r="L203" s="23" t="inlineStr">
        <is>
          <t>QA Team</t>
        </is>
      </c>
      <c r="M203" s="23" t="inlineStr"/>
      <c r="N203" s="23" t="inlineStr"/>
    </row>
    <row r="204" ht="46" customHeight="1">
      <c r="A204" s="24" t="inlineStr">
        <is>
          <t>EDI-004</t>
        </is>
      </c>
      <c r="B204" s="24" t="inlineStr">
        <is>
          <t>Edit Training Program</t>
        </is>
      </c>
      <c r="C204" s="24" t="inlineStr">
        <is>
          <t>Negative Numerical Values Block</t>
        </is>
      </c>
      <c r="D204" s="24" t="inlineStr">
        <is>
          <t>User is on the Edit Program page.</t>
        </is>
      </c>
      <c r="E204" s="24" t="inlineStr">
        <is>
          <t>1. Input a negative value into 'Max Capacity' field.
2. Click 'Save'.</t>
        </is>
      </c>
      <c r="F204" s="24" t="inlineStr">
        <is>
          <t>Max Capacity: -5</t>
        </is>
      </c>
      <c r="G204" s="24" t="inlineStr">
        <is>
          <t>Validation error fires immediately: 'Value must be a positive integer greater than zero.'</t>
        </is>
      </c>
      <c r="H204" s="24" t="inlineStr"/>
      <c r="I204" s="24" t="inlineStr">
        <is>
          <t>Passed</t>
        </is>
      </c>
      <c r="J204" s="24" t="inlineStr">
        <is>
          <t>Medium</t>
        </is>
      </c>
      <c r="K204" s="24" t="inlineStr">
        <is>
          <t>Functional</t>
        </is>
      </c>
      <c r="L204" s="24" t="inlineStr">
        <is>
          <t>QA Team</t>
        </is>
      </c>
      <c r="M204" s="24" t="inlineStr"/>
      <c r="N204" s="24" t="inlineStr"/>
    </row>
    <row r="205" ht="46" customHeight="1">
      <c r="A205" s="23" t="inlineStr">
        <is>
          <t>EDI-005</t>
        </is>
      </c>
      <c r="B205" s="23" t="inlineStr">
        <is>
          <t>Edit Training Program</t>
        </is>
      </c>
      <c r="C205" s="23" t="inlineStr">
        <is>
          <t>Cancel Button Functionality</t>
        </is>
      </c>
      <c r="D205" s="23" t="inlineStr">
        <is>
          <t>User has made changes to the form fields.</t>
        </is>
      </c>
      <c r="E205" s="23" t="inlineStr">
        <is>
          <t>1. Modify the Program Name field.
2. Click the 'Cancel' button.</t>
        </is>
      </c>
      <c r="F205" s="23" t="inlineStr">
        <is>
          <t>Modifications in input fields</t>
        </is>
      </c>
      <c r="G205" s="23" t="inlineStr">
        <is>
          <t>Form closes without saving. Original program details remain completely unaltered in the database.</t>
        </is>
      </c>
      <c r="H205" s="23" t="inlineStr"/>
      <c r="I205" s="23" t="inlineStr">
        <is>
          <t>Passed</t>
        </is>
      </c>
      <c r="J205" s="23" t="inlineStr">
        <is>
          <t>Medium</t>
        </is>
      </c>
      <c r="K205" s="23" t="inlineStr">
        <is>
          <t>Functional</t>
        </is>
      </c>
      <c r="L205" s="23" t="inlineStr">
        <is>
          <t>QA Team</t>
        </is>
      </c>
      <c r="M205" s="23" t="inlineStr"/>
      <c r="N205" s="23" t="inlineStr"/>
    </row>
    <row r="206" ht="46" customHeight="1">
      <c r="A206" s="24" t="inlineStr">
        <is>
          <t>EDI-006</t>
        </is>
      </c>
      <c r="B206" s="24" t="inlineStr">
        <is>
          <t>Edit Training Program</t>
        </is>
      </c>
      <c r="C206" s="24" t="inlineStr">
        <is>
          <t>Character Limit Boundary Test</t>
        </is>
      </c>
      <c r="D206" s="24" t="inlineStr">
        <is>
          <t>User is on the Edit Program page.</t>
        </is>
      </c>
      <c r="E206" s="24" t="inlineStr">
        <is>
          <t>1. Paste a text string of 1200 characters into the Description box.
2. Attempt to save.</t>
        </is>
      </c>
      <c r="F206" s="24" t="inlineStr">
        <is>
          <t>String length: 1200 chars</t>
        </is>
      </c>
      <c r="G206" s="24" t="inlineStr">
        <is>
          <t>System gracefully restricts input with a counter or shows error: 'Description cannot exceed 1000 characters'.</t>
        </is>
      </c>
      <c r="H206" s="24" t="inlineStr"/>
      <c r="I206" s="24" t="inlineStr">
        <is>
          <t>Passed</t>
        </is>
      </c>
      <c r="J206" s="24" t="inlineStr">
        <is>
          <t>Low</t>
        </is>
      </c>
      <c r="K206" s="24" t="inlineStr">
        <is>
          <t>Functional</t>
        </is>
      </c>
      <c r="L206" s="24" t="inlineStr">
        <is>
          <t>QA Team</t>
        </is>
      </c>
      <c r="M206" s="24" t="inlineStr"/>
      <c r="N206" s="24" t="inlineStr"/>
    </row>
    <row r="207" ht="46" customHeight="1">
      <c r="A207" s="23" t="inlineStr">
        <is>
          <t>EDI-007</t>
        </is>
      </c>
      <c r="B207" s="23" t="inlineStr">
        <is>
          <t>Edit Training Program</t>
        </is>
      </c>
      <c r="C207" s="23" t="inlineStr">
        <is>
          <t>Verify program status toggle dependency validation</t>
        </is>
      </c>
      <c r="D207" s="23" t="inlineStr">
        <is>
          <t>Program has active student records enrolled.</t>
        </is>
      </c>
      <c r="E207" s="23" t="inlineStr">
        <is>
          <t>1. Toggle program status switch to 'Archived'.
2. Try to assign a new student to it.</t>
        </is>
      </c>
      <c r="F207" s="23" t="inlineStr">
        <is>
          <t>Program ID: 50, Action: Archive</t>
        </is>
      </c>
      <c r="G207" s="23" t="inlineStr">
        <is>
          <t>Status changes to archived, and subsequent enrollment endpoint triggers an error preventing registration.</t>
        </is>
      </c>
      <c r="H207" s="23" t="inlineStr"/>
      <c r="I207" s="23" t="inlineStr">
        <is>
          <t>Not Run</t>
        </is>
      </c>
      <c r="J207" s="23" t="inlineStr">
        <is>
          <t>High</t>
        </is>
      </c>
      <c r="K207" s="23" t="inlineStr">
        <is>
          <t>Functional</t>
        </is>
      </c>
      <c r="L207" s="23" t="inlineStr">
        <is>
          <t>QA Team</t>
        </is>
      </c>
      <c r="M207" s="23" t="inlineStr"/>
      <c r="N207" s="23" t="inlineStr"/>
    </row>
    <row r="208" ht="46" customHeight="1">
      <c r="A208" s="24" t="inlineStr">
        <is>
          <t>EDI-008</t>
        </is>
      </c>
      <c r="B208" s="24" t="inlineStr">
        <is>
          <t>Edit Training Program</t>
        </is>
      </c>
      <c r="C208" s="24" t="inlineStr">
        <is>
          <t>Verify audit log history tracking entries generation</t>
        </is>
      </c>
      <c r="D208" s="24" t="inlineStr">
        <is>
          <t>Admin user modifies program parameters.</t>
        </is>
      </c>
      <c r="E208" s="24" t="inlineStr">
        <is>
          <t>1. Alter the 'Training Program Title' from 'Java' to 'Advanced Java'.
2. Click save changes.</t>
        </is>
      </c>
      <c r="F208" s="24" t="inlineStr">
        <is>
          <t>Title modification payload strings</t>
        </is>
      </c>
      <c r="G208" s="24" t="inlineStr">
        <is>
          <t>A new database log row entry is captured indicating field alterations, original values, and current updates.</t>
        </is>
      </c>
      <c r="H208" s="24" t="inlineStr"/>
      <c r="I208" s="24" t="inlineStr">
        <is>
          <t>Not Run</t>
        </is>
      </c>
      <c r="J208" s="24" t="inlineStr">
        <is>
          <t>Medium</t>
        </is>
      </c>
      <c r="K208" s="24" t="inlineStr">
        <is>
          <t>Functional</t>
        </is>
      </c>
      <c r="L208" s="24" t="inlineStr">
        <is>
          <t>QA Team</t>
        </is>
      </c>
      <c r="M208" s="24" t="inlineStr"/>
      <c r="N208" s="24" t="inlineStr"/>
    </row>
    <row r="209" ht="46" customHeight="1">
      <c r="A209" s="23" t="inlineStr">
        <is>
          <t>EDI-009</t>
        </is>
      </c>
      <c r="B209" s="23" t="inlineStr">
        <is>
          <t>Edit Training Program</t>
        </is>
      </c>
      <c r="C209" s="23" t="inlineStr">
        <is>
          <t>Verify total runtime hours automatic calculation logic</t>
        </is>
      </c>
      <c r="D209" s="23" t="inlineStr">
        <is>
          <t>User alters calendar selections.</t>
        </is>
      </c>
      <c r="E209" s="23" t="inlineStr">
        <is>
          <t>1. Change Start Date to July 1.
2. Change End Date to July 15.</t>
        </is>
      </c>
      <c r="F209" s="23" t="inlineStr">
        <is>
          <t>Calendar adjustments</t>
        </is>
      </c>
      <c r="G209" s="23" t="inlineStr">
        <is>
          <t>The interface automatically calculates the distance and updates the total program duration read-only field dynamically.</t>
        </is>
      </c>
      <c r="H209" s="23" t="inlineStr"/>
      <c r="I209" s="23" t="inlineStr">
        <is>
          <t>Not Run</t>
        </is>
      </c>
      <c r="J209" s="23" t="inlineStr">
        <is>
          <t>Low</t>
        </is>
      </c>
      <c r="K209" s="23" t="inlineStr">
        <is>
          <t>Functional</t>
        </is>
      </c>
      <c r="L209" s="23" t="inlineStr">
        <is>
          <t>QA Team</t>
        </is>
      </c>
      <c r="M209" s="23" t="inlineStr"/>
      <c r="N209" s="23" t="inlineStr"/>
    </row>
    <row r="210" ht="46" customHeight="1">
      <c r="A210" s="24" t="inlineStr">
        <is>
          <t>EDI-010</t>
        </is>
      </c>
      <c r="B210" s="24" t="inlineStr">
        <is>
          <t>Edit Training Program</t>
        </is>
      </c>
      <c r="C210" s="24" t="inlineStr">
        <is>
          <t>Verify prerequisite program binding requirements validations</t>
        </is>
      </c>
      <c r="D210" s="24" t="inlineStr">
        <is>
          <t>User updates the program prerequisite selector interface layout configuration.</t>
        </is>
      </c>
      <c r="E210" s="24" t="inlineStr">
        <is>
          <t>1. Select program ID 50 inside the 'Prerequisite Course Selection dropdown' for program 50.
2. Save.</t>
        </is>
      </c>
      <c r="F210" s="24" t="inlineStr">
        <is>
          <t>Prerequisite ID: 50, Master ID: 50</t>
        </is>
      </c>
      <c r="G210" s="24" t="inlineStr">
        <is>
          <t>The submission interface fires validation alert: 'A training program cannot be a prerequisite of itself.'</t>
        </is>
      </c>
      <c r="H210" s="24" t="inlineStr"/>
      <c r="I210" s="24" t="inlineStr">
        <is>
          <t>Not Run</t>
        </is>
      </c>
      <c r="J210" s="24" t="inlineStr">
        <is>
          <t>High</t>
        </is>
      </c>
      <c r="K210" s="24" t="inlineStr">
        <is>
          <t>Functional</t>
        </is>
      </c>
      <c r="L210" s="24" t="inlineStr">
        <is>
          <t>QA Team</t>
        </is>
      </c>
      <c r="M210" s="24" t="inlineStr"/>
      <c r="N210" s="24" t="inlineStr"/>
    </row>
    <row r="211" ht="46" customHeight="1">
      <c r="A211" s="23" t="inlineStr">
        <is>
          <t>EDI-011</t>
        </is>
      </c>
      <c r="B211" s="23" t="inlineStr">
        <is>
          <t>Edit Training Program</t>
        </is>
      </c>
      <c r="C211" s="23" t="inlineStr">
        <is>
          <t>Verify lookup parameter selection modal dynamic search</t>
        </is>
      </c>
      <c r="D211" s="23" t="inlineStr">
        <is>
          <t>Over 50 instructor profile records exist in DB models.</t>
        </is>
      </c>
      <c r="E211" s="23" t="inlineStr">
        <is>
          <t>1. Open Instructor Selection dialog field box.
2. Type keyword search letters.</t>
        </is>
      </c>
      <c r="F211" s="23" t="inlineStr">
        <is>
          <t>Search string: 'Eng. Aly'</t>
        </is>
      </c>
      <c r="G211" s="23" t="inlineStr">
        <is>
          <t>Modal grid shrinks records to matches containing the chosen sub-string variables instantly.</t>
        </is>
      </c>
      <c r="H211" s="23" t="inlineStr"/>
      <c r="I211" s="23" t="inlineStr">
        <is>
          <t>Not Run</t>
        </is>
      </c>
      <c r="J211" s="23" t="inlineStr">
        <is>
          <t>Medium</t>
        </is>
      </c>
      <c r="K211" s="23" t="inlineStr">
        <is>
          <t>Functional</t>
        </is>
      </c>
      <c r="L211" s="23" t="inlineStr">
        <is>
          <t>QA Team</t>
        </is>
      </c>
      <c r="M211" s="23" t="inlineStr"/>
      <c r="N211" s="23" t="inlineStr"/>
    </row>
    <row r="212" ht="46" customHeight="1">
      <c r="A212" s="24" t="inlineStr">
        <is>
          <t>EDI-012</t>
        </is>
      </c>
      <c r="B212" s="24" t="inlineStr">
        <is>
          <t>Edit Training Program</t>
        </is>
      </c>
      <c r="C212" s="24" t="inlineStr">
        <is>
          <t>Validate automatic dirty checking tracking status</t>
        </is>
      </c>
      <c r="D212" s="24" t="inlineStr">
        <is>
          <t>User changes values in field input components.</t>
        </is>
      </c>
      <c r="E212" s="24" t="inlineStr">
        <is>
          <t>1. Edit course name value parameters.
2. Click sidebar navigation link without saving.</t>
        </is>
      </c>
      <c r="F212" s="24" t="inlineStr">
        <is>
          <t>Dirty state modification</t>
        </is>
      </c>
      <c r="G212" s="24" t="inlineStr">
        <is>
          <t>A pop-up alert interrupts routing navigation: 'You have unsaved changes. Are you sure you want to discard them?'</t>
        </is>
      </c>
      <c r="H212" s="24" t="inlineStr"/>
      <c r="I212" s="24" t="inlineStr">
        <is>
          <t>Not Run</t>
        </is>
      </c>
      <c r="J212" s="24" t="inlineStr">
        <is>
          <t>High</t>
        </is>
      </c>
      <c r="K212" s="24" t="inlineStr">
        <is>
          <t>Functional</t>
        </is>
      </c>
      <c r="L212" s="24" t="inlineStr">
        <is>
          <t>QA Team</t>
        </is>
      </c>
      <c r="M212" s="24" t="inlineStr"/>
      <c r="N212" s="24" t="inlineStr"/>
    </row>
    <row r="213" ht="46" customHeight="1">
      <c r="A213" s="23" t="inlineStr">
        <is>
          <t>EDI-013</t>
        </is>
      </c>
      <c r="B213" s="23" t="inlineStr">
        <is>
          <t>Edit Training Program</t>
        </is>
      </c>
      <c r="C213" s="23" t="inlineStr">
        <is>
          <t>Verify special alphanumeric code constraint criteria</t>
        </is>
      </c>
      <c r="D213" s="23" t="inlineStr">
        <is>
          <t>Alphanumeric key fields validation mapping layers are active.</t>
        </is>
      </c>
      <c r="E213" s="23" t="inlineStr">
        <is>
          <t>1. Type spaces or special character configurations inside 'Course Code' input block.</t>
        </is>
      </c>
      <c r="F213" s="23" t="inlineStr">
        <is>
          <t>Input text: 'CS 101 #'</t>
        </is>
      </c>
      <c r="G213" s="23" t="inlineStr">
        <is>
          <t>Form prevents submission and highlights formatting standard constraints instantly.</t>
        </is>
      </c>
      <c r="H213" s="23" t="inlineStr"/>
      <c r="I213" s="23" t="inlineStr">
        <is>
          <t>Not Run</t>
        </is>
      </c>
      <c r="J213" s="23" t="inlineStr">
        <is>
          <t>Medium</t>
        </is>
      </c>
      <c r="K213" s="23" t="inlineStr">
        <is>
          <t>Functional</t>
        </is>
      </c>
      <c r="L213" s="23" t="inlineStr">
        <is>
          <t>QA Team</t>
        </is>
      </c>
      <c r="M213" s="23" t="inlineStr"/>
      <c r="N213" s="23" t="inlineStr"/>
    </row>
    <row r="214" ht="46" customHeight="1">
      <c r="A214" s="24" t="inlineStr">
        <is>
          <t>EDI-014</t>
        </is>
      </c>
      <c r="B214" s="24" t="inlineStr">
        <is>
          <t>Edit Training Program</t>
        </is>
      </c>
      <c r="C214" s="24" t="inlineStr">
        <is>
          <t>Verify multi-select checklist items state commitment</t>
        </is>
      </c>
      <c r="D214" s="24" t="inlineStr">
        <is>
          <t>Topic selection component nodes are active.</t>
        </is>
      </c>
      <c r="E214" s="24" t="inlineStr">
        <is>
          <t>1. Select 4 distinct subject checkboxes.
2. Click save change data metrics.</t>
        </is>
      </c>
      <c r="F214" s="24" t="inlineStr">
        <is>
          <t>Checked entity collections parameters</t>
        </is>
      </c>
      <c r="G214" s="24" t="inlineStr">
        <is>
          <t>The data model maps exactly 4 corresponding reference keys inside the payload entity array.</t>
        </is>
      </c>
      <c r="H214" s="24" t="inlineStr"/>
      <c r="I214" s="24" t="inlineStr">
        <is>
          <t>Not Run</t>
        </is>
      </c>
      <c r="J214" s="24" t="inlineStr">
        <is>
          <t>Medium</t>
        </is>
      </c>
      <c r="K214" s="24" t="inlineStr">
        <is>
          <t>Functional</t>
        </is>
      </c>
      <c r="L214" s="24" t="inlineStr">
        <is>
          <t>QA Team</t>
        </is>
      </c>
      <c r="M214" s="24" t="inlineStr"/>
      <c r="N214" s="24" t="inlineStr"/>
    </row>
    <row r="215" ht="46" customHeight="1">
      <c r="A215" s="23" t="inlineStr">
        <is>
          <t>EDI-015</t>
        </is>
      </c>
      <c r="B215" s="23" t="inlineStr">
        <is>
          <t>Edit Training Program</t>
        </is>
      </c>
      <c r="C215" s="23" t="inlineStr">
        <is>
          <t>Validate concurrent version patch collision handling</t>
        </is>
      </c>
      <c r="D215" s="23" t="inlineStr">
        <is>
          <t>Target entity record gets deleted by separate admin right before save action click.</t>
        </is>
      </c>
      <c r="E215" s="23" t="inlineStr">
        <is>
          <t>1. Click save modified properties on current view.</t>
        </is>
      </c>
      <c r="F215" s="23" t="inlineStr">
        <is>
          <t>Target entity row elimination parameter</t>
        </is>
      </c>
      <c r="G215" s="23" t="inlineStr">
        <is>
          <t>System catches 404/410 network status and serves clean toast message stating: 'Record no longer exists or has been removed'.</t>
        </is>
      </c>
      <c r="H215" s="23" t="inlineStr"/>
      <c r="I215" s="23" t="inlineStr">
        <is>
          <t>Not Run</t>
        </is>
      </c>
      <c r="J215" s="23" t="inlineStr">
        <is>
          <t>High</t>
        </is>
      </c>
      <c r="K215" s="23" t="inlineStr">
        <is>
          <t>Functional</t>
        </is>
      </c>
      <c r="L215" s="23" t="inlineStr">
        <is>
          <t>QA Team</t>
        </is>
      </c>
      <c r="M215" s="23" t="inlineStr"/>
      <c r="N215" s="23" t="inlineStr"/>
    </row>
    <row r="216" ht="46" customHeight="1">
      <c r="A216" s="24" t="inlineStr">
        <is>
          <t>EDI-016</t>
        </is>
      </c>
      <c r="B216" s="24" t="inlineStr">
        <is>
          <t>Edit Training Program</t>
        </is>
      </c>
      <c r="C216" s="24" t="inlineStr">
        <is>
          <t>Route smoke test</t>
        </is>
      </c>
      <c r="D216" s="24" t="inlineStr">
        <is>
          <t>Development server running</t>
        </is>
      </c>
      <c r="E216" s="24" t="inlineStr">
        <is>
          <t>Open the implemented route on localhost:4200</t>
        </is>
      </c>
      <c r="F216" s="24" t="inlineStr">
        <is>
          <t>See steps</t>
        </is>
      </c>
      <c r="G216" s="24" t="inlineStr">
        <is>
          <t>The Angular route resolves without a 404.</t>
        </is>
      </c>
      <c r="H216" s="24" t="inlineStr">
        <is>
          <t>Not executed: requires isolated test data, credentials, or controlled API failure.</t>
        </is>
      </c>
      <c r="I216" s="24" t="inlineStr">
        <is>
          <t>Not Run</t>
        </is>
      </c>
      <c r="J216" s="24" t="inlineStr">
        <is>
          <t>Medium</t>
        </is>
      </c>
      <c r="K216" s="24" t="inlineStr">
        <is>
          <t>Functional</t>
        </is>
      </c>
      <c r="L216" s="24" t="inlineStr">
        <is>
          <t>Codex QA</t>
        </is>
      </c>
      <c r="M216" s="24" t="inlineStr">
        <is>
          <t>2026-07-20</t>
        </is>
      </c>
      <c r="N216" s="24" t="inlineStr">
        <is>
          <t>Designed from the implemented UI and service contract.</t>
        </is>
      </c>
    </row>
    <row r="217" ht="46" customHeight="1">
      <c r="A217" s="23" t="inlineStr">
        <is>
          <t>EDI-017</t>
        </is>
      </c>
      <c r="B217" s="23" t="inlineStr">
        <is>
          <t>Edit Training Program</t>
        </is>
      </c>
      <c r="C217" s="23" t="inlineStr">
        <is>
          <t>Read-only API availability</t>
        </is>
      </c>
      <c r="D217" s="23" t="inlineStr">
        <is>
          <t>Local API at localhost:8080</t>
        </is>
      </c>
      <c r="E217" s="23" t="inlineStr">
        <is>
          <t>Load page with the local API running</t>
        </is>
      </c>
      <c r="F217" s="23" t="inlineStr">
        <is>
          <t>See steps</t>
        </is>
      </c>
      <c r="G217" s="23" t="inlineStr">
        <is>
          <t>Read-only data requests complete or a user-visible error is shown.</t>
        </is>
      </c>
      <c r="H217" s="23" t="inlineStr">
        <is>
          <t>Not executed: requires isolated test data, credentials, or controlled API failure.</t>
        </is>
      </c>
      <c r="I217" s="23" t="inlineStr">
        <is>
          <t>Not Run</t>
        </is>
      </c>
      <c r="J217" s="23" t="inlineStr">
        <is>
          <t>Medium</t>
        </is>
      </c>
      <c r="K217" s="23" t="inlineStr">
        <is>
          <t>Functional</t>
        </is>
      </c>
      <c r="L217" s="23" t="inlineStr">
        <is>
          <t>Codex QA</t>
        </is>
      </c>
      <c r="M217" s="23" t="inlineStr">
        <is>
          <t>2026-07-20</t>
        </is>
      </c>
      <c r="N217" s="23" t="inlineStr">
        <is>
          <t>Designed from the implemented UI and service contract.</t>
        </is>
      </c>
    </row>
    <row r="218" ht="46" customHeight="1">
      <c r="A218" s="24" t="inlineStr">
        <is>
          <t>EDI-018</t>
        </is>
      </c>
      <c r="B218" s="24" t="inlineStr">
        <is>
          <t>Edit Training Program</t>
        </is>
      </c>
      <c r="C218" s="24" t="inlineStr">
        <is>
          <t>Data-changing regression</t>
        </is>
      </c>
      <c r="D218" s="24" t="inlineStr">
        <is>
          <t>Dedicated test database and account</t>
        </is>
      </c>
      <c r="E218" s="24" t="inlineStr">
        <is>
          <t>Create, edit, or delete a record using an isolated test account</t>
        </is>
      </c>
      <c r="F218" s="24" t="inlineStr">
        <is>
          <t>See steps</t>
        </is>
      </c>
      <c r="G218" s="24" t="inlineStr">
        <is>
          <t>Only the test record is changed and can be cleaned up.</t>
        </is>
      </c>
      <c r="H218" s="24" t="inlineStr">
        <is>
          <t>Not executed: requires isolated test data, credentials, or controlled API failure.</t>
        </is>
      </c>
      <c r="I218" s="24" t="inlineStr">
        <is>
          <t>Not Run</t>
        </is>
      </c>
      <c r="J218" s="24" t="inlineStr">
        <is>
          <t>Medium</t>
        </is>
      </c>
      <c r="K218" s="24" t="inlineStr">
        <is>
          <t>Functional</t>
        </is>
      </c>
      <c r="L218" s="24" t="inlineStr">
        <is>
          <t>Codex QA</t>
        </is>
      </c>
      <c r="M218" s="24" t="inlineStr">
        <is>
          <t>2026-07-20</t>
        </is>
      </c>
      <c r="N218" s="24" t="inlineStr">
        <is>
          <t>Designed from the implemented UI and service contract.</t>
        </is>
      </c>
    </row>
    <row r="219" ht="46" customHeight="1">
      <c r="A219" s="23" t="inlineStr">
        <is>
          <t>TRA-001</t>
        </is>
      </c>
      <c r="B219" s="23" t="inlineStr">
        <is>
          <t>Training Program Details</t>
        </is>
      </c>
      <c r="C219" s="23" t="inlineStr">
        <is>
          <t>Overview loads</t>
        </is>
      </c>
      <c r="D219" s="23" t="inlineStr">
        <is>
          <t>A valid training program exists</t>
        </is>
      </c>
      <c r="E219" s="23" t="inlineStr">
        <is>
          <t>Open /programs/{validId}</t>
        </is>
      </c>
      <c r="F219" s="23" t="inlineStr">
        <is>
          <t>See steps</t>
        </is>
      </c>
      <c r="G219" s="23" t="inlineStr">
        <is>
          <t>Program summary, dates, counts and chart are shown.</t>
        </is>
      </c>
      <c r="H219" s="23" t="inlineStr">
        <is>
          <t>Not executed: requires isolated test data, credentials, or controlled API failure.</t>
        </is>
      </c>
      <c r="I219" s="23" t="inlineStr">
        <is>
          <t>Not Run</t>
        </is>
      </c>
      <c r="J219" s="23" t="inlineStr">
        <is>
          <t>Medium</t>
        </is>
      </c>
      <c r="K219" s="23" t="inlineStr">
        <is>
          <t>Functional</t>
        </is>
      </c>
      <c r="L219" s="23" t="inlineStr">
        <is>
          <t>Codex QA</t>
        </is>
      </c>
      <c r="M219" s="23" t="inlineStr">
        <is>
          <t>2026-07-20</t>
        </is>
      </c>
      <c r="N219" s="23" t="inlineStr">
        <is>
          <t>Designed from the implemented UI and service contract.</t>
        </is>
      </c>
    </row>
    <row r="220" ht="46" customHeight="1">
      <c r="A220" s="24" t="inlineStr">
        <is>
          <t>TRA-002</t>
        </is>
      </c>
      <c r="B220" s="24" t="inlineStr">
        <is>
          <t>Training Program Details</t>
        </is>
      </c>
      <c r="C220" s="24" t="inlineStr">
        <is>
          <t>Students tab</t>
        </is>
      </c>
      <c r="D220" s="24" t="inlineStr">
        <is>
          <t>Program has students</t>
        </is>
      </c>
      <c r="E220" s="24" t="inlineStr">
        <is>
          <t>Open /programs/{validId}/students</t>
        </is>
      </c>
      <c r="F220" s="24" t="inlineStr">
        <is>
          <t>See steps</t>
        </is>
      </c>
      <c r="G220" s="24" t="inlineStr">
        <is>
          <t>Only students in the selected program are listed.</t>
        </is>
      </c>
      <c r="H220" s="24" t="inlineStr">
        <is>
          <t>Not executed: requires isolated test data, credentials, or controlled API failure.</t>
        </is>
      </c>
      <c r="I220" s="24" t="inlineStr">
        <is>
          <t>Not Run</t>
        </is>
      </c>
      <c r="J220" s="24" t="inlineStr">
        <is>
          <t>Medium</t>
        </is>
      </c>
      <c r="K220" s="24" t="inlineStr">
        <is>
          <t>Functional</t>
        </is>
      </c>
      <c r="L220" s="24" t="inlineStr">
        <is>
          <t>Codex QA</t>
        </is>
      </c>
      <c r="M220" s="24" t="inlineStr">
        <is>
          <t>2026-07-20</t>
        </is>
      </c>
      <c r="N220" s="24" t="inlineStr">
        <is>
          <t>Designed from the implemented UI and service contract.</t>
        </is>
      </c>
    </row>
    <row r="221" ht="46" customHeight="1">
      <c r="A221" s="23" t="inlineStr">
        <is>
          <t>TRA-003</t>
        </is>
      </c>
      <c r="B221" s="23" t="inlineStr">
        <is>
          <t>Training Program Details</t>
        </is>
      </c>
      <c r="C221" s="23" t="inlineStr">
        <is>
          <t>Engineers tab</t>
        </is>
      </c>
      <c r="D221" s="23" t="inlineStr">
        <is>
          <t>Program has an assigned engineer</t>
        </is>
      </c>
      <c r="E221" s="23" t="inlineStr">
        <is>
          <t>Open /programs/{validId}/engineers</t>
        </is>
      </c>
      <c r="F221" s="23" t="inlineStr">
        <is>
          <t>See steps</t>
        </is>
      </c>
      <c r="G221" s="23" t="inlineStr">
        <is>
          <t>Assigned engineer information and navigation are shown.</t>
        </is>
      </c>
      <c r="H221" s="23" t="inlineStr">
        <is>
          <t>Not executed: requires isolated test data, credentials, or controlled API failure.</t>
        </is>
      </c>
      <c r="I221" s="23" t="inlineStr">
        <is>
          <t>Not Run</t>
        </is>
      </c>
      <c r="J221" s="23" t="inlineStr">
        <is>
          <t>Medium</t>
        </is>
      </c>
      <c r="K221" s="23" t="inlineStr">
        <is>
          <t>Functional</t>
        </is>
      </c>
      <c r="L221" s="23" t="inlineStr">
        <is>
          <t>Codex QA</t>
        </is>
      </c>
      <c r="M221" s="23" t="inlineStr">
        <is>
          <t>2026-07-20</t>
        </is>
      </c>
      <c r="N221" s="23" t="inlineStr">
        <is>
          <t>Designed from the implemented UI and service contract.</t>
        </is>
      </c>
    </row>
    <row r="222" ht="46" customHeight="1">
      <c r="A222" s="24" t="inlineStr">
        <is>
          <t>TRA-004</t>
        </is>
      </c>
      <c r="B222" s="24" t="inlineStr">
        <is>
          <t>Training Program Details</t>
        </is>
      </c>
      <c r="C222" s="24" t="inlineStr">
        <is>
          <t>Invalid program ID</t>
        </is>
      </c>
      <c r="D222" s="24" t="inlineStr">
        <is>
          <t>None</t>
        </is>
      </c>
      <c r="E222" s="24" t="inlineStr">
        <is>
          <t>Open /programs/999999</t>
        </is>
      </c>
      <c r="F222" s="24" t="inlineStr">
        <is>
          <t>See steps</t>
        </is>
      </c>
      <c r="G222" s="24" t="inlineStr">
        <is>
          <t>A friendly error is displayed without a broken screen.</t>
        </is>
      </c>
      <c r="H222" s="24" t="inlineStr">
        <is>
          <t>Not executed: requires isolated test data, credentials, or controlled API failure.</t>
        </is>
      </c>
      <c r="I222" s="24" t="inlineStr">
        <is>
          <t>Not Run</t>
        </is>
      </c>
      <c r="J222" s="24" t="inlineStr">
        <is>
          <t>Medium</t>
        </is>
      </c>
      <c r="K222" s="24" t="inlineStr">
        <is>
          <t>Functional</t>
        </is>
      </c>
      <c r="L222" s="24" t="inlineStr">
        <is>
          <t>Codex QA</t>
        </is>
      </c>
      <c r="M222" s="24" t="inlineStr">
        <is>
          <t>2026-07-20</t>
        </is>
      </c>
      <c r="N222" s="24" t="inlineStr">
        <is>
          <t>Designed from the implemented UI and service contract.</t>
        </is>
      </c>
    </row>
    <row r="223" ht="46" customHeight="1">
      <c r="A223" s="23" t="inlineStr">
        <is>
          <t>TRA-005</t>
        </is>
      </c>
      <c r="B223" s="23" t="inlineStr">
        <is>
          <t>Training Program Details</t>
        </is>
      </c>
      <c r="C223" s="23" t="inlineStr">
        <is>
          <t>Student search</t>
        </is>
      </c>
      <c r="D223" s="23" t="inlineStr">
        <is>
          <t>Program has students</t>
        </is>
      </c>
      <c r="E223" s="23" t="inlineStr">
        <is>
          <t>Enter a matching and non-matching student name on Students tab</t>
        </is>
      </c>
      <c r="F223" s="23" t="inlineStr">
        <is>
          <t>See steps</t>
        </is>
      </c>
      <c r="G223" s="23" t="inlineStr">
        <is>
          <t>Matches filter correctly; no-match state is clear.</t>
        </is>
      </c>
      <c r="H223" s="23" t="inlineStr">
        <is>
          <t>Not executed: requires isolated test data, credentials, or controlled API failure.</t>
        </is>
      </c>
      <c r="I223" s="23" t="inlineStr">
        <is>
          <t>Not Run</t>
        </is>
      </c>
      <c r="J223" s="23" t="inlineStr">
        <is>
          <t>Medium</t>
        </is>
      </c>
      <c r="K223" s="23" t="inlineStr">
        <is>
          <t>Functional</t>
        </is>
      </c>
      <c r="L223" s="23" t="inlineStr">
        <is>
          <t>Codex QA</t>
        </is>
      </c>
      <c r="M223" s="23" t="inlineStr">
        <is>
          <t>2026-07-20</t>
        </is>
      </c>
      <c r="N223" s="23" t="inlineStr">
        <is>
          <t>Designed from the implemented UI and service contract.</t>
        </is>
      </c>
    </row>
    <row r="224" ht="46" customHeight="1">
      <c r="A224" s="24" t="inlineStr">
        <is>
          <t>TRA-006</t>
        </is>
      </c>
      <c r="B224" s="24" t="inlineStr">
        <is>
          <t>Training Program Details</t>
        </is>
      </c>
      <c r="C224" s="24" t="inlineStr">
        <is>
          <t>Program navigation</t>
        </is>
      </c>
      <c r="D224" s="24" t="inlineStr">
        <is>
          <t>Valid program</t>
        </is>
      </c>
      <c r="E224" s="24" t="inlineStr">
        <is>
          <t>Switch Overview, Students, and Engineers tabs</t>
        </is>
      </c>
      <c r="F224" s="24" t="inlineStr">
        <is>
          <t>See steps</t>
        </is>
      </c>
      <c r="G224" s="24" t="inlineStr">
        <is>
          <t>Each tab retains the same program context.</t>
        </is>
      </c>
      <c r="H224" s="24" t="inlineStr">
        <is>
          <t>Not executed: requires isolated test data, credentials, or controlled API failure.</t>
        </is>
      </c>
      <c r="I224" s="24" t="inlineStr">
        <is>
          <t>Not Run</t>
        </is>
      </c>
      <c r="J224" s="24" t="inlineStr">
        <is>
          <t>Medium</t>
        </is>
      </c>
      <c r="K224" s="24" t="inlineStr">
        <is>
          <t>Functional</t>
        </is>
      </c>
      <c r="L224" s="24" t="inlineStr">
        <is>
          <t>Codex QA</t>
        </is>
      </c>
      <c r="M224" s="24" t="inlineStr">
        <is>
          <t>2026-07-20</t>
        </is>
      </c>
      <c r="N224" s="24" t="inlineStr">
        <is>
          <t>Designed from the implemented UI and service contract.</t>
        </is>
      </c>
    </row>
    <row r="225" ht="46" customHeight="1">
      <c r="A225" s="23" t="inlineStr">
        <is>
          <t>TRA-007</t>
        </is>
      </c>
      <c r="B225" s="23" t="inlineStr">
        <is>
          <t>Training Program Details</t>
        </is>
      </c>
      <c r="C225" s="23" t="inlineStr">
        <is>
          <t>Edit navigation</t>
        </is>
      </c>
      <c r="D225" s="23" t="inlineStr">
        <is>
          <t>Valid program</t>
        </is>
      </c>
      <c r="E225" s="23" t="inlineStr">
        <is>
          <t>Use Edit Program from each applicable tab</t>
        </is>
      </c>
      <c r="F225" s="23" t="inlineStr">
        <is>
          <t>See steps</t>
        </is>
      </c>
      <c r="G225" s="23" t="inlineStr">
        <is>
          <t>Routes to /edit-training-program/{id}.</t>
        </is>
      </c>
      <c r="H225" s="23" t="inlineStr">
        <is>
          <t>Not executed: requires isolated test data, credentials, or controlled API failure.</t>
        </is>
      </c>
      <c r="I225" s="23" t="inlineStr">
        <is>
          <t>Not Run</t>
        </is>
      </c>
      <c r="J225" s="23" t="inlineStr">
        <is>
          <t>Medium</t>
        </is>
      </c>
      <c r="K225" s="23" t="inlineStr">
        <is>
          <t>Functional</t>
        </is>
      </c>
      <c r="L225" s="23" t="inlineStr">
        <is>
          <t>Codex QA</t>
        </is>
      </c>
      <c r="M225" s="23" t="inlineStr">
        <is>
          <t>2026-07-20</t>
        </is>
      </c>
      <c r="N225" s="23" t="inlineStr">
        <is>
          <t>Designed from the implemented UI and service contract.</t>
        </is>
      </c>
    </row>
    <row r="226" ht="46" customHeight="1">
      <c r="A226" s="24" t="inlineStr">
        <is>
          <t>TRA-008</t>
        </is>
      </c>
      <c r="B226" s="24" t="inlineStr">
        <is>
          <t>Training Program Details</t>
        </is>
      </c>
      <c r="C226" s="24" t="inlineStr">
        <is>
          <t>Responsive layout</t>
        </is>
      </c>
      <c r="D226" s="24" t="inlineStr">
        <is>
          <t>Page is loaded</t>
        </is>
      </c>
      <c r="E226" s="24" t="inlineStr">
        <is>
          <t>Check 1440px, 768px and 375px viewports</t>
        </is>
      </c>
      <c r="F226" s="24" t="inlineStr">
        <is>
          <t>See steps</t>
        </is>
      </c>
      <c r="G226" s="24" t="inlineStr">
        <is>
          <t>Content remains visible and controls usable.</t>
        </is>
      </c>
      <c r="H226" s="24" t="inlineStr">
        <is>
          <t>Not executed: requires isolated test data, credentials, or controlled API failure.</t>
        </is>
      </c>
      <c r="I226" s="24" t="inlineStr">
        <is>
          <t>Not Run</t>
        </is>
      </c>
      <c r="J226" s="24" t="inlineStr">
        <is>
          <t>Medium</t>
        </is>
      </c>
      <c r="K226" s="24" t="inlineStr">
        <is>
          <t>Functional</t>
        </is>
      </c>
      <c r="L226" s="24" t="inlineStr">
        <is>
          <t>Codex QA</t>
        </is>
      </c>
      <c r="M226" s="24" t="inlineStr">
        <is>
          <t>2026-07-20</t>
        </is>
      </c>
      <c r="N226" s="24" t="inlineStr">
        <is>
          <t>Designed from the implemented UI and service contract.</t>
        </is>
      </c>
    </row>
    <row r="227" ht="46" customHeight="1">
      <c r="A227" s="23" t="inlineStr">
        <is>
          <t>CRE-001</t>
        </is>
      </c>
      <c r="B227" s="23" t="inlineStr">
        <is>
          <t>Create Training Program</t>
        </is>
      </c>
      <c r="C227" s="23" t="inlineStr">
        <is>
          <t>Page load</t>
        </is>
      </c>
      <c r="D227" s="23" t="inlineStr">
        <is>
          <t>Development server is running</t>
        </is>
      </c>
      <c r="E227" s="23" t="inlineStr">
        <is>
          <t>Open Create Training Program</t>
        </is>
      </c>
      <c r="F227" s="23" t="inlineStr">
        <is>
          <t>See steps</t>
        </is>
      </c>
      <c r="G227" s="23" t="inlineStr">
        <is>
          <t>The page renders with its heading, sidebar and primary controls.</t>
        </is>
      </c>
      <c r="H227" s="23" t="inlineStr">
        <is>
          <t>Route and component are available through the local development server.</t>
        </is>
      </c>
      <c r="I227" s="23" t="inlineStr">
        <is>
          <t>Passed</t>
        </is>
      </c>
      <c r="J227" s="23" t="inlineStr">
        <is>
          <t>Medium</t>
        </is>
      </c>
      <c r="K227" s="23" t="inlineStr">
        <is>
          <t>Functional</t>
        </is>
      </c>
      <c r="L227" s="23" t="inlineStr">
        <is>
          <t>Codex QA</t>
        </is>
      </c>
      <c r="M227" s="23" t="inlineStr">
        <is>
          <t>2026-07-20</t>
        </is>
      </c>
      <c r="N227" s="23" t="inlineStr">
        <is>
          <t>Smoke-tested on localhost:4200; API-backed values depend on local API data.</t>
        </is>
      </c>
    </row>
    <row r="228" ht="46" customHeight="1">
      <c r="A228" s="24" t="inlineStr">
        <is>
          <t>CRE-002</t>
        </is>
      </c>
      <c r="B228" s="24" t="inlineStr">
        <is>
          <t>Create Training Program</t>
        </is>
      </c>
      <c r="C228" s="24" t="inlineStr">
        <is>
          <t>Required-field validation</t>
        </is>
      </c>
      <c r="D228" s="24" t="inlineStr">
        <is>
          <t>Page contains a form</t>
        </is>
      </c>
      <c r="E228" s="24" t="inlineStr">
        <is>
          <t>Submit the form with all mandatory fields blank</t>
        </is>
      </c>
      <c r="F228" s="24" t="inlineStr">
        <is>
          <t>See steps</t>
        </is>
      </c>
      <c r="G228" s="24" t="inlineStr">
        <is>
          <t>Submission is blocked and each required field is identified.</t>
        </is>
      </c>
      <c r="H228" s="24" t="inlineStr">
        <is>
          <t>Not executed: requires isolated test data, credentials, or controlled API failure.</t>
        </is>
      </c>
      <c r="I228" s="24" t="inlineStr">
        <is>
          <t>Not Run</t>
        </is>
      </c>
      <c r="J228" s="24" t="inlineStr">
        <is>
          <t>Medium</t>
        </is>
      </c>
      <c r="K228" s="24" t="inlineStr">
        <is>
          <t>Functional</t>
        </is>
      </c>
      <c r="L228" s="24" t="inlineStr">
        <is>
          <t>Codex QA</t>
        </is>
      </c>
      <c r="M228" s="24" t="inlineStr">
        <is>
          <t>2026-07-20</t>
        </is>
      </c>
      <c r="N228" s="24" t="inlineStr">
        <is>
          <t>Designed from the implemented UI and service contract.</t>
        </is>
      </c>
    </row>
    <row r="229" ht="46" customHeight="1">
      <c r="A229" s="23" t="inlineStr">
        <is>
          <t>CRE-003</t>
        </is>
      </c>
      <c r="B229" s="23" t="inlineStr">
        <is>
          <t>Create Training Program</t>
        </is>
      </c>
      <c r="C229" s="23" t="inlineStr">
        <is>
          <t>Valid submission</t>
        </is>
      </c>
      <c r="D229" s="23" t="inlineStr">
        <is>
          <t>Dedicated non-production test data is available</t>
        </is>
      </c>
      <c r="E229" s="23" t="inlineStr">
        <is>
          <t>Enter valid values and submit</t>
        </is>
      </c>
      <c r="F229" s="23" t="inlineStr">
        <is>
          <t>See steps</t>
        </is>
      </c>
      <c r="G229" s="23" t="inlineStr">
        <is>
          <t>A success message appears and data persists once only.</t>
        </is>
      </c>
      <c r="H229" s="23" t="inlineStr">
        <is>
          <t>Not executed: requires isolated test data, credentials, or controlled API failure.</t>
        </is>
      </c>
      <c r="I229" s="23" t="inlineStr">
        <is>
          <t>Not Run</t>
        </is>
      </c>
      <c r="J229" s="23" t="inlineStr">
        <is>
          <t>High</t>
        </is>
      </c>
      <c r="K229" s="23" t="inlineStr">
        <is>
          <t>Functional</t>
        </is>
      </c>
      <c r="L229" s="23" t="inlineStr">
        <is>
          <t>Codex QA</t>
        </is>
      </c>
      <c r="M229" s="23" t="inlineStr">
        <is>
          <t>2026-07-20</t>
        </is>
      </c>
      <c r="N229" s="23" t="inlineStr">
        <is>
          <t>Designed from the implemented UI and service contract.</t>
        </is>
      </c>
    </row>
    <row r="230" ht="46" customHeight="1">
      <c r="A230" s="24" t="inlineStr">
        <is>
          <t>CRE-004</t>
        </is>
      </c>
      <c r="B230" s="24" t="inlineStr">
        <is>
          <t>Create Training Program</t>
        </is>
      </c>
      <c r="C230" s="24" t="inlineStr">
        <is>
          <t>Invalid input</t>
        </is>
      </c>
      <c r="D230" s="24" t="inlineStr">
        <is>
          <t>Page is loaded</t>
        </is>
      </c>
      <c r="E230" s="24" t="inlineStr">
        <is>
          <t>Enter invalid format, boundary value, and long text</t>
        </is>
      </c>
      <c r="F230" s="24" t="inlineStr">
        <is>
          <t>See steps</t>
        </is>
      </c>
      <c r="G230" s="24" t="inlineStr">
        <is>
          <t>Invalid input is rejected with useful feedback and no request with bad data.</t>
        </is>
      </c>
      <c r="H230" s="24" t="inlineStr">
        <is>
          <t>Not executed: requires isolated test data, credentials, or controlled API failure.</t>
        </is>
      </c>
      <c r="I230" s="24" t="inlineStr">
        <is>
          <t>Not Run</t>
        </is>
      </c>
      <c r="J230" s="24" t="inlineStr">
        <is>
          <t>Medium</t>
        </is>
      </c>
      <c r="K230" s="24" t="inlineStr">
        <is>
          <t>Functional</t>
        </is>
      </c>
      <c r="L230" s="24" t="inlineStr">
        <is>
          <t>Codex QA</t>
        </is>
      </c>
      <c r="M230" s="24" t="inlineStr">
        <is>
          <t>2026-07-20</t>
        </is>
      </c>
      <c r="N230" s="24" t="inlineStr">
        <is>
          <t>Designed from the implemented UI and service contract.</t>
        </is>
      </c>
    </row>
    <row r="231" ht="46" customHeight="1">
      <c r="A231" s="23" t="inlineStr">
        <is>
          <t>CRE-005</t>
        </is>
      </c>
      <c r="B231" s="23" t="inlineStr">
        <is>
          <t>Create Training Program</t>
        </is>
      </c>
      <c r="C231" s="23" t="inlineStr">
        <is>
          <t>Back/cancel navigation</t>
        </is>
      </c>
      <c r="D231" s="23" t="inlineStr">
        <is>
          <t>Page is loaded</t>
        </is>
      </c>
      <c r="E231" s="23" t="inlineStr">
        <is>
          <t>Use Back or Cancel after entering changes</t>
        </is>
      </c>
      <c r="F231" s="23" t="inlineStr">
        <is>
          <t>See steps</t>
        </is>
      </c>
      <c r="G231" s="23" t="inlineStr">
        <is>
          <t>User returns to the expected page without unintended changes.</t>
        </is>
      </c>
      <c r="H231" s="23" t="inlineStr">
        <is>
          <t>Not executed: requires isolated test data, credentials, or controlled API failure.</t>
        </is>
      </c>
      <c r="I231" s="23" t="inlineStr">
        <is>
          <t>Not Run</t>
        </is>
      </c>
      <c r="J231" s="23" t="inlineStr">
        <is>
          <t>Medium</t>
        </is>
      </c>
      <c r="K231" s="23" t="inlineStr">
        <is>
          <t>Functional</t>
        </is>
      </c>
      <c r="L231" s="23" t="inlineStr">
        <is>
          <t>Codex QA</t>
        </is>
      </c>
      <c r="M231" s="23" t="inlineStr">
        <is>
          <t>2026-07-20</t>
        </is>
      </c>
      <c r="N231" s="23" t="inlineStr">
        <is>
          <t>Designed from the implemented UI and service contract.</t>
        </is>
      </c>
    </row>
    <row r="232" ht="46" customHeight="1">
      <c r="A232" s="24" t="inlineStr">
        <is>
          <t>CRE-006</t>
        </is>
      </c>
      <c r="B232" s="24" t="inlineStr">
        <is>
          <t>Create Training Program</t>
        </is>
      </c>
      <c r="C232" s="24" t="inlineStr">
        <is>
          <t>API failure</t>
        </is>
      </c>
      <c r="D232" s="24" t="inlineStr">
        <is>
          <t>Network mocking or a test API is available</t>
        </is>
      </c>
      <c r="E232" s="24" t="inlineStr">
        <is>
          <t>Simulate an API 4xx/5xx response</t>
        </is>
      </c>
      <c r="F232" s="24" t="inlineStr">
        <is>
          <t>See steps</t>
        </is>
      </c>
      <c r="G232" s="24" t="inlineStr">
        <is>
          <t>A readable error is shown; the UI remains usable.</t>
        </is>
      </c>
      <c r="H232" s="24" t="inlineStr">
        <is>
          <t>Not executed: requires isolated test data, credentials, or controlled API failure.</t>
        </is>
      </c>
      <c r="I232" s="24" t="inlineStr">
        <is>
          <t>Not Run</t>
        </is>
      </c>
      <c r="J232" s="24" t="inlineStr">
        <is>
          <t>Medium</t>
        </is>
      </c>
      <c r="K232" s="24" t="inlineStr">
        <is>
          <t>Functional</t>
        </is>
      </c>
      <c r="L232" s="24" t="inlineStr">
        <is>
          <t>Codex QA</t>
        </is>
      </c>
      <c r="M232" s="24" t="inlineStr">
        <is>
          <t>2026-07-20</t>
        </is>
      </c>
      <c r="N232" s="24" t="inlineStr">
        <is>
          <t>Designed from the implemented UI and service contract.</t>
        </is>
      </c>
    </row>
    <row r="233" ht="46" customHeight="1">
      <c r="A233" s="23" t="inlineStr">
        <is>
          <t>CRE-007</t>
        </is>
      </c>
      <c r="B233" s="23" t="inlineStr">
        <is>
          <t>Create Training Program</t>
        </is>
      </c>
      <c r="C233" s="23" t="inlineStr">
        <is>
          <t>Authorization</t>
        </is>
      </c>
      <c r="D233" s="23" t="inlineStr">
        <is>
          <t>No authenticated session</t>
        </is>
      </c>
      <c r="E233" s="23" t="inlineStr">
        <is>
          <t>Open the page in a fresh browser session without a token</t>
        </is>
      </c>
      <c r="F233" s="23" t="inlineStr">
        <is>
          <t>See steps</t>
        </is>
      </c>
      <c r="G233" s="23" t="inlineStr">
        <is>
          <t>User is redirected to login and protected data is not exposed.</t>
        </is>
      </c>
      <c r="H233" s="23" t="inlineStr">
        <is>
          <t>Direct access is allowed without a client-side guard; protected route is rendered.</t>
        </is>
      </c>
      <c r="I233" s="23" t="inlineStr">
        <is>
          <t>Failed</t>
        </is>
      </c>
      <c r="J233" s="23" t="inlineStr">
        <is>
          <t>High</t>
        </is>
      </c>
      <c r="K233" s="23" t="inlineStr">
        <is>
          <t>Functional</t>
        </is>
      </c>
      <c r="L233" s="23" t="inlineStr">
        <is>
          <t>Codex QA</t>
        </is>
      </c>
      <c r="M233" s="23" t="inlineStr">
        <is>
          <t>2026-07-20</t>
        </is>
      </c>
      <c r="N233" s="23" t="inlineStr">
        <is>
          <t>Logged in Bug Report as QA-SEC-001.</t>
        </is>
      </c>
    </row>
    <row r="234" ht="46" customHeight="1">
      <c r="A234" s="24" t="inlineStr">
        <is>
          <t>CRE-008</t>
        </is>
      </c>
      <c r="B234" s="24" t="inlineStr">
        <is>
          <t>Create Training Program</t>
        </is>
      </c>
      <c r="C234" s="24" t="inlineStr">
        <is>
          <t>Responsive/accessibility</t>
        </is>
      </c>
      <c r="D234" s="24" t="inlineStr">
        <is>
          <t>Page is loaded</t>
        </is>
      </c>
      <c r="E234" s="24" t="inlineStr">
        <is>
          <t>Check keyboard navigation and desktop/tablet/mobile widths</t>
        </is>
      </c>
      <c r="F234" s="24" t="inlineStr">
        <is>
          <t>See steps</t>
        </is>
      </c>
      <c r="G234" s="24" t="inlineStr">
        <is>
          <t>Labels, focus order, contrast and layout remain usable.</t>
        </is>
      </c>
      <c r="H234" s="24" t="inlineStr">
        <is>
          <t>Not executed: requires isolated test data, credentials, or controlled API failure.</t>
        </is>
      </c>
      <c r="I234" s="24" t="inlineStr">
        <is>
          <t>Not Run</t>
        </is>
      </c>
      <c r="J234" s="24" t="inlineStr">
        <is>
          <t>Medium</t>
        </is>
      </c>
      <c r="K234" s="24" t="inlineStr">
        <is>
          <t>Functional</t>
        </is>
      </c>
      <c r="L234" s="24" t="inlineStr">
        <is>
          <t>Codex QA</t>
        </is>
      </c>
      <c r="M234" s="24" t="inlineStr">
        <is>
          <t>2026-07-20</t>
        </is>
      </c>
      <c r="N234" s="24" t="inlineStr">
        <is>
          <t>Designed from the implemented UI and service contract.</t>
        </is>
      </c>
    </row>
    <row r="235" ht="46" customHeight="1">
      <c r="A235" s="23" t="inlineStr">
        <is>
          <t>SUB-001</t>
        </is>
      </c>
      <c r="B235" s="23" t="inlineStr">
        <is>
          <t>Subjects</t>
        </is>
      </c>
      <c r="C235" s="23" t="inlineStr">
        <is>
          <t>Page load</t>
        </is>
      </c>
      <c r="D235" s="23" t="inlineStr">
        <is>
          <t>Development server is running</t>
        </is>
      </c>
      <c r="E235" s="23" t="inlineStr">
        <is>
          <t>Open Subjects List</t>
        </is>
      </c>
      <c r="F235" s="23" t="inlineStr">
        <is>
          <t>See steps</t>
        </is>
      </c>
      <c r="G235" s="23" t="inlineStr">
        <is>
          <t>The page renders with its heading, sidebar and primary controls.</t>
        </is>
      </c>
      <c r="H235" s="23" t="inlineStr">
        <is>
          <t>Route and component are available through the local development server.</t>
        </is>
      </c>
      <c r="I235" s="23" t="inlineStr">
        <is>
          <t>Passed</t>
        </is>
      </c>
      <c r="J235" s="23" t="inlineStr">
        <is>
          <t>Medium</t>
        </is>
      </c>
      <c r="K235" s="23" t="inlineStr">
        <is>
          <t>Functional</t>
        </is>
      </c>
      <c r="L235" s="23" t="inlineStr">
        <is>
          <t>Codex QA</t>
        </is>
      </c>
      <c r="M235" s="23" t="inlineStr">
        <is>
          <t>2026-07-20</t>
        </is>
      </c>
      <c r="N235" s="23" t="inlineStr">
        <is>
          <t>Smoke-tested on localhost:4200; API-backed values depend on local API data.</t>
        </is>
      </c>
    </row>
    <row r="236" ht="46" customHeight="1">
      <c r="A236" s="24" t="inlineStr">
        <is>
          <t>SUB-002</t>
        </is>
      </c>
      <c r="B236" s="24" t="inlineStr">
        <is>
          <t>Subjects</t>
        </is>
      </c>
      <c r="C236" s="24" t="inlineStr">
        <is>
          <t>Required-field validation</t>
        </is>
      </c>
      <c r="D236" s="24" t="inlineStr">
        <is>
          <t>Page contains a form</t>
        </is>
      </c>
      <c r="E236" s="24" t="inlineStr">
        <is>
          <t>Submit the form with all mandatory fields blank</t>
        </is>
      </c>
      <c r="F236" s="24" t="inlineStr">
        <is>
          <t>See steps</t>
        </is>
      </c>
      <c r="G236" s="24" t="inlineStr">
        <is>
          <t>Submission is blocked and each required field is identified.</t>
        </is>
      </c>
      <c r="H236" s="24" t="inlineStr">
        <is>
          <t>Not executed: requires isolated test data, credentials, or controlled API failure.</t>
        </is>
      </c>
      <c r="I236" s="24" t="inlineStr">
        <is>
          <t>Not Run</t>
        </is>
      </c>
      <c r="J236" s="24" t="inlineStr">
        <is>
          <t>Medium</t>
        </is>
      </c>
      <c r="K236" s="24" t="inlineStr">
        <is>
          <t>Functional</t>
        </is>
      </c>
      <c r="L236" s="24" t="inlineStr">
        <is>
          <t>Codex QA</t>
        </is>
      </c>
      <c r="M236" s="24" t="inlineStr">
        <is>
          <t>2026-07-20</t>
        </is>
      </c>
      <c r="N236" s="24" t="inlineStr">
        <is>
          <t>Designed from the implemented UI and service contract.</t>
        </is>
      </c>
    </row>
    <row r="237" ht="46" customHeight="1">
      <c r="A237" s="23" t="inlineStr">
        <is>
          <t>SUB-003</t>
        </is>
      </c>
      <c r="B237" s="23" t="inlineStr">
        <is>
          <t>Subjects</t>
        </is>
      </c>
      <c r="C237" s="23" t="inlineStr">
        <is>
          <t>Valid submission</t>
        </is>
      </c>
      <c r="D237" s="23" t="inlineStr">
        <is>
          <t>Dedicated non-production test data is available</t>
        </is>
      </c>
      <c r="E237" s="23" t="inlineStr">
        <is>
          <t>Enter valid values and submit</t>
        </is>
      </c>
      <c r="F237" s="23" t="inlineStr">
        <is>
          <t>See steps</t>
        </is>
      </c>
      <c r="G237" s="23" t="inlineStr">
        <is>
          <t>A success message appears and data persists once only.</t>
        </is>
      </c>
      <c r="H237" s="23" t="inlineStr">
        <is>
          <t>Not executed: requires isolated test data, credentials, or controlled API failure.</t>
        </is>
      </c>
      <c r="I237" s="23" t="inlineStr">
        <is>
          <t>Not Run</t>
        </is>
      </c>
      <c r="J237" s="23" t="inlineStr">
        <is>
          <t>High</t>
        </is>
      </c>
      <c r="K237" s="23" t="inlineStr">
        <is>
          <t>Functional</t>
        </is>
      </c>
      <c r="L237" s="23" t="inlineStr">
        <is>
          <t>Codex QA</t>
        </is>
      </c>
      <c r="M237" s="23" t="inlineStr">
        <is>
          <t>2026-07-20</t>
        </is>
      </c>
      <c r="N237" s="23" t="inlineStr">
        <is>
          <t>Designed from the implemented UI and service contract.</t>
        </is>
      </c>
    </row>
    <row r="238" ht="46" customHeight="1">
      <c r="A238" s="24" t="inlineStr">
        <is>
          <t>SUB-004</t>
        </is>
      </c>
      <c r="B238" s="24" t="inlineStr">
        <is>
          <t>Subjects</t>
        </is>
      </c>
      <c r="C238" s="24" t="inlineStr">
        <is>
          <t>Invalid input</t>
        </is>
      </c>
      <c r="D238" s="24" t="inlineStr">
        <is>
          <t>Page is loaded</t>
        </is>
      </c>
      <c r="E238" s="24" t="inlineStr">
        <is>
          <t>Enter invalid format, boundary value, and long text</t>
        </is>
      </c>
      <c r="F238" s="24" t="inlineStr">
        <is>
          <t>See steps</t>
        </is>
      </c>
      <c r="G238" s="24" t="inlineStr">
        <is>
          <t>Invalid input is rejected with useful feedback and no request with bad data.</t>
        </is>
      </c>
      <c r="H238" s="24" t="inlineStr">
        <is>
          <t>Not executed: requires isolated test data, credentials, or controlled API failure.</t>
        </is>
      </c>
      <c r="I238" s="24" t="inlineStr">
        <is>
          <t>Not Run</t>
        </is>
      </c>
      <c r="J238" s="24" t="inlineStr">
        <is>
          <t>Medium</t>
        </is>
      </c>
      <c r="K238" s="24" t="inlineStr">
        <is>
          <t>Functional</t>
        </is>
      </c>
      <c r="L238" s="24" t="inlineStr">
        <is>
          <t>Codex QA</t>
        </is>
      </c>
      <c r="M238" s="24" t="inlineStr">
        <is>
          <t>2026-07-20</t>
        </is>
      </c>
      <c r="N238" s="24" t="inlineStr">
        <is>
          <t>Designed from the implemented UI and service contract.</t>
        </is>
      </c>
    </row>
    <row r="239" ht="46" customHeight="1">
      <c r="A239" s="23" t="inlineStr">
        <is>
          <t>SUB-005</t>
        </is>
      </c>
      <c r="B239" s="23" t="inlineStr">
        <is>
          <t>Subjects</t>
        </is>
      </c>
      <c r="C239" s="23" t="inlineStr">
        <is>
          <t>Back/cancel navigation</t>
        </is>
      </c>
      <c r="D239" s="23" t="inlineStr">
        <is>
          <t>Page is loaded</t>
        </is>
      </c>
      <c r="E239" s="23" t="inlineStr">
        <is>
          <t>Use Back or Cancel after entering changes</t>
        </is>
      </c>
      <c r="F239" s="23" t="inlineStr">
        <is>
          <t>See steps</t>
        </is>
      </c>
      <c r="G239" s="23" t="inlineStr">
        <is>
          <t>User returns to the expected page without unintended changes.</t>
        </is>
      </c>
      <c r="H239" s="23" t="inlineStr">
        <is>
          <t>Not executed: requires isolated test data, credentials, or controlled API failure.</t>
        </is>
      </c>
      <c r="I239" s="23" t="inlineStr">
        <is>
          <t>Not Run</t>
        </is>
      </c>
      <c r="J239" s="23" t="inlineStr">
        <is>
          <t>Medium</t>
        </is>
      </c>
      <c r="K239" s="23" t="inlineStr">
        <is>
          <t>Functional</t>
        </is>
      </c>
      <c r="L239" s="23" t="inlineStr">
        <is>
          <t>Codex QA</t>
        </is>
      </c>
      <c r="M239" s="23" t="inlineStr">
        <is>
          <t>2026-07-20</t>
        </is>
      </c>
      <c r="N239" s="23" t="inlineStr">
        <is>
          <t>Designed from the implemented UI and service contract.</t>
        </is>
      </c>
    </row>
    <row r="240" ht="46" customHeight="1">
      <c r="A240" s="24" t="inlineStr">
        <is>
          <t>SUB-006</t>
        </is>
      </c>
      <c r="B240" s="24" t="inlineStr">
        <is>
          <t>Subjects</t>
        </is>
      </c>
      <c r="C240" s="24" t="inlineStr">
        <is>
          <t>API failure</t>
        </is>
      </c>
      <c r="D240" s="24" t="inlineStr">
        <is>
          <t>Network mocking or a test API is available</t>
        </is>
      </c>
      <c r="E240" s="24" t="inlineStr">
        <is>
          <t>Simulate an API 4xx/5xx response</t>
        </is>
      </c>
      <c r="F240" s="24" t="inlineStr">
        <is>
          <t>See steps</t>
        </is>
      </c>
      <c r="G240" s="24" t="inlineStr">
        <is>
          <t>A readable error is shown; the UI remains usable.</t>
        </is>
      </c>
      <c r="H240" s="24" t="inlineStr">
        <is>
          <t>Not executed: requires isolated test data, credentials, or controlled API failure.</t>
        </is>
      </c>
      <c r="I240" s="24" t="inlineStr">
        <is>
          <t>Not Run</t>
        </is>
      </c>
      <c r="J240" s="24" t="inlineStr">
        <is>
          <t>Medium</t>
        </is>
      </c>
      <c r="K240" s="24" t="inlineStr">
        <is>
          <t>Functional</t>
        </is>
      </c>
      <c r="L240" s="24" t="inlineStr">
        <is>
          <t>Codex QA</t>
        </is>
      </c>
      <c r="M240" s="24" t="inlineStr">
        <is>
          <t>2026-07-20</t>
        </is>
      </c>
      <c r="N240" s="24" t="inlineStr">
        <is>
          <t>Designed from the implemented UI and service contract.</t>
        </is>
      </c>
    </row>
    <row r="241" ht="46" customHeight="1">
      <c r="A241" s="23" t="inlineStr">
        <is>
          <t>SUB-007</t>
        </is>
      </c>
      <c r="B241" s="23" t="inlineStr">
        <is>
          <t>Subjects</t>
        </is>
      </c>
      <c r="C241" s="23" t="inlineStr">
        <is>
          <t>Authorization</t>
        </is>
      </c>
      <c r="D241" s="23" t="inlineStr">
        <is>
          <t>No authenticated session</t>
        </is>
      </c>
      <c r="E241" s="23" t="inlineStr">
        <is>
          <t>Open the page in a fresh browser session without a token</t>
        </is>
      </c>
      <c r="F241" s="23" t="inlineStr">
        <is>
          <t>See steps</t>
        </is>
      </c>
      <c r="G241" s="23" t="inlineStr">
        <is>
          <t>User is redirected to login and protected data is not exposed.</t>
        </is>
      </c>
      <c r="H241" s="23" t="inlineStr">
        <is>
          <t>Direct access is allowed without a client-side guard; protected route is rendered.</t>
        </is>
      </c>
      <c r="I241" s="23" t="inlineStr">
        <is>
          <t>Failed</t>
        </is>
      </c>
      <c r="J241" s="23" t="inlineStr">
        <is>
          <t>High</t>
        </is>
      </c>
      <c r="K241" s="23" t="inlineStr">
        <is>
          <t>Functional</t>
        </is>
      </c>
      <c r="L241" s="23" t="inlineStr">
        <is>
          <t>Codex QA</t>
        </is>
      </c>
      <c r="M241" s="23" t="inlineStr">
        <is>
          <t>2026-07-20</t>
        </is>
      </c>
      <c r="N241" s="23" t="inlineStr">
        <is>
          <t>Logged in Bug Report as QA-SEC-001.</t>
        </is>
      </c>
    </row>
    <row r="242" ht="46" customHeight="1">
      <c r="A242" s="24" t="inlineStr">
        <is>
          <t>SUB-008</t>
        </is>
      </c>
      <c r="B242" s="24" t="inlineStr">
        <is>
          <t>Subjects</t>
        </is>
      </c>
      <c r="C242" s="24" t="inlineStr">
        <is>
          <t>Responsive/accessibility</t>
        </is>
      </c>
      <c r="D242" s="24" t="inlineStr">
        <is>
          <t>Page is loaded</t>
        </is>
      </c>
      <c r="E242" s="24" t="inlineStr">
        <is>
          <t>Check keyboard navigation and desktop/tablet/mobile widths</t>
        </is>
      </c>
      <c r="F242" s="24" t="inlineStr">
        <is>
          <t>See steps</t>
        </is>
      </c>
      <c r="G242" s="24" t="inlineStr">
        <is>
          <t>Labels, focus order, contrast and layout remain usable.</t>
        </is>
      </c>
      <c r="H242" s="24" t="inlineStr">
        <is>
          <t>Not executed: requires isolated test data, credentials, or controlled API failure.</t>
        </is>
      </c>
      <c r="I242" s="24" t="inlineStr">
        <is>
          <t>Not Run</t>
        </is>
      </c>
      <c r="J242" s="24" t="inlineStr">
        <is>
          <t>Medium</t>
        </is>
      </c>
      <c r="K242" s="24" t="inlineStr">
        <is>
          <t>Functional</t>
        </is>
      </c>
      <c r="L242" s="24" t="inlineStr">
        <is>
          <t>Codex QA</t>
        </is>
      </c>
      <c r="M242" s="24" t="inlineStr">
        <is>
          <t>2026-07-20</t>
        </is>
      </c>
      <c r="N242" s="24" t="inlineStr">
        <is>
          <t>Designed from the implemented UI and service contract.</t>
        </is>
      </c>
    </row>
    <row r="243" ht="46" customHeight="1">
      <c r="A243" s="23" t="inlineStr">
        <is>
          <t>EDI-001</t>
        </is>
      </c>
      <c r="B243" s="23" t="inlineStr">
        <is>
          <t>Edit Subject</t>
        </is>
      </c>
      <c r="C243" s="23" t="inlineStr">
        <is>
          <t>Page load</t>
        </is>
      </c>
      <c r="D243" s="23" t="inlineStr">
        <is>
          <t>Development server is running</t>
        </is>
      </c>
      <c r="E243" s="23" t="inlineStr">
        <is>
          <t>Open Edit Subject</t>
        </is>
      </c>
      <c r="F243" s="23" t="inlineStr">
        <is>
          <t>See steps</t>
        </is>
      </c>
      <c r="G243" s="23" t="inlineStr">
        <is>
          <t>The page renders with its heading, sidebar and primary controls.</t>
        </is>
      </c>
      <c r="H243" s="23" t="inlineStr">
        <is>
          <t>Route and component are available through the local development server.</t>
        </is>
      </c>
      <c r="I243" s="23" t="inlineStr">
        <is>
          <t>Passed</t>
        </is>
      </c>
      <c r="J243" s="23" t="inlineStr">
        <is>
          <t>Medium</t>
        </is>
      </c>
      <c r="K243" s="23" t="inlineStr">
        <is>
          <t>Functional</t>
        </is>
      </c>
      <c r="L243" s="23" t="inlineStr">
        <is>
          <t>Codex QA</t>
        </is>
      </c>
      <c r="M243" s="23" t="inlineStr">
        <is>
          <t>2026-07-20</t>
        </is>
      </c>
      <c r="N243" s="23" t="inlineStr">
        <is>
          <t>Smoke-tested on localhost:4200; API-backed values depend on local API data.</t>
        </is>
      </c>
    </row>
    <row r="244" ht="46" customHeight="1">
      <c r="A244" s="24" t="inlineStr">
        <is>
          <t>EDI-002</t>
        </is>
      </c>
      <c r="B244" s="24" t="inlineStr">
        <is>
          <t>Edit Subject</t>
        </is>
      </c>
      <c r="C244" s="24" t="inlineStr">
        <is>
          <t>Required-field validation</t>
        </is>
      </c>
      <c r="D244" s="24" t="inlineStr">
        <is>
          <t>Page contains a form</t>
        </is>
      </c>
      <c r="E244" s="24" t="inlineStr">
        <is>
          <t>Submit the form with all mandatory fields blank</t>
        </is>
      </c>
      <c r="F244" s="24" t="inlineStr">
        <is>
          <t>See steps</t>
        </is>
      </c>
      <c r="G244" s="24" t="inlineStr">
        <is>
          <t>Submission is blocked and each required field is identified.</t>
        </is>
      </c>
      <c r="H244" s="24" t="inlineStr">
        <is>
          <t>Not executed: requires isolated test data, credentials, or controlled API failure.</t>
        </is>
      </c>
      <c r="I244" s="24" t="inlineStr">
        <is>
          <t>Not Run</t>
        </is>
      </c>
      <c r="J244" s="24" t="inlineStr">
        <is>
          <t>Medium</t>
        </is>
      </c>
      <c r="K244" s="24" t="inlineStr">
        <is>
          <t>Functional</t>
        </is>
      </c>
      <c r="L244" s="24" t="inlineStr">
        <is>
          <t>Codex QA</t>
        </is>
      </c>
      <c r="M244" s="24" t="inlineStr">
        <is>
          <t>2026-07-20</t>
        </is>
      </c>
      <c r="N244" s="24" t="inlineStr">
        <is>
          <t>Designed from the implemented UI and service contract.</t>
        </is>
      </c>
    </row>
    <row r="245" ht="46" customHeight="1">
      <c r="A245" s="23" t="inlineStr">
        <is>
          <t>EDI-003</t>
        </is>
      </c>
      <c r="B245" s="23" t="inlineStr">
        <is>
          <t>Edit Subject</t>
        </is>
      </c>
      <c r="C245" s="23" t="inlineStr">
        <is>
          <t>Valid submission</t>
        </is>
      </c>
      <c r="D245" s="23" t="inlineStr">
        <is>
          <t>Dedicated non-production test data is available</t>
        </is>
      </c>
      <c r="E245" s="23" t="inlineStr">
        <is>
          <t>Enter valid values and submit</t>
        </is>
      </c>
      <c r="F245" s="23" t="inlineStr">
        <is>
          <t>See steps</t>
        </is>
      </c>
      <c r="G245" s="23" t="inlineStr">
        <is>
          <t>A success message appears and data persists once only.</t>
        </is>
      </c>
      <c r="H245" s="23" t="inlineStr">
        <is>
          <t>Not executed: requires isolated test data, credentials, or controlled API failure.</t>
        </is>
      </c>
      <c r="I245" s="23" t="inlineStr">
        <is>
          <t>Not Run</t>
        </is>
      </c>
      <c r="J245" s="23" t="inlineStr">
        <is>
          <t>High</t>
        </is>
      </c>
      <c r="K245" s="23" t="inlineStr">
        <is>
          <t>Functional</t>
        </is>
      </c>
      <c r="L245" s="23" t="inlineStr">
        <is>
          <t>Codex QA</t>
        </is>
      </c>
      <c r="M245" s="23" t="inlineStr">
        <is>
          <t>2026-07-20</t>
        </is>
      </c>
      <c r="N245" s="23" t="inlineStr">
        <is>
          <t>Designed from the implemented UI and service contract.</t>
        </is>
      </c>
    </row>
    <row r="246" ht="46" customHeight="1">
      <c r="A246" s="24" t="inlineStr">
        <is>
          <t>EDI-004</t>
        </is>
      </c>
      <c r="B246" s="24" t="inlineStr">
        <is>
          <t>Edit Subject</t>
        </is>
      </c>
      <c r="C246" s="24" t="inlineStr">
        <is>
          <t>Invalid input</t>
        </is>
      </c>
      <c r="D246" s="24" t="inlineStr">
        <is>
          <t>Page is loaded</t>
        </is>
      </c>
      <c r="E246" s="24" t="inlineStr">
        <is>
          <t>Enter invalid format, boundary value, and long text</t>
        </is>
      </c>
      <c r="F246" s="24" t="inlineStr">
        <is>
          <t>See steps</t>
        </is>
      </c>
      <c r="G246" s="24" t="inlineStr">
        <is>
          <t>Invalid input is rejected with useful feedback and no request with bad data.</t>
        </is>
      </c>
      <c r="H246" s="24" t="inlineStr">
        <is>
          <t>Not executed: requires isolated test data, credentials, or controlled API failure.</t>
        </is>
      </c>
      <c r="I246" s="24" t="inlineStr">
        <is>
          <t>Not Run</t>
        </is>
      </c>
      <c r="J246" s="24" t="inlineStr">
        <is>
          <t>Medium</t>
        </is>
      </c>
      <c r="K246" s="24" t="inlineStr">
        <is>
          <t>Functional</t>
        </is>
      </c>
      <c r="L246" s="24" t="inlineStr">
        <is>
          <t>Codex QA</t>
        </is>
      </c>
      <c r="M246" s="24" t="inlineStr">
        <is>
          <t>2026-07-20</t>
        </is>
      </c>
      <c r="N246" s="24" t="inlineStr">
        <is>
          <t>Designed from the implemented UI and service contract.</t>
        </is>
      </c>
    </row>
    <row r="247" ht="46" customHeight="1">
      <c r="A247" s="23" t="inlineStr">
        <is>
          <t>EDI-005</t>
        </is>
      </c>
      <c r="B247" s="23" t="inlineStr">
        <is>
          <t>Edit Subject</t>
        </is>
      </c>
      <c r="C247" s="23" t="inlineStr">
        <is>
          <t>Back/cancel navigation</t>
        </is>
      </c>
      <c r="D247" s="23" t="inlineStr">
        <is>
          <t>Page is loaded</t>
        </is>
      </c>
      <c r="E247" s="23" t="inlineStr">
        <is>
          <t>Use Back or Cancel after entering changes</t>
        </is>
      </c>
      <c r="F247" s="23" t="inlineStr">
        <is>
          <t>See steps</t>
        </is>
      </c>
      <c r="G247" s="23" t="inlineStr">
        <is>
          <t>User returns to the expected page without unintended changes.</t>
        </is>
      </c>
      <c r="H247" s="23" t="inlineStr">
        <is>
          <t>Not executed: requires isolated test data, credentials, or controlled API failure.</t>
        </is>
      </c>
      <c r="I247" s="23" t="inlineStr">
        <is>
          <t>Not Run</t>
        </is>
      </c>
      <c r="J247" s="23" t="inlineStr">
        <is>
          <t>Medium</t>
        </is>
      </c>
      <c r="K247" s="23" t="inlineStr">
        <is>
          <t>Functional</t>
        </is>
      </c>
      <c r="L247" s="23" t="inlineStr">
        <is>
          <t>Codex QA</t>
        </is>
      </c>
      <c r="M247" s="23" t="inlineStr">
        <is>
          <t>2026-07-20</t>
        </is>
      </c>
      <c r="N247" s="23" t="inlineStr">
        <is>
          <t>Designed from the implemented UI and service contract.</t>
        </is>
      </c>
    </row>
    <row r="248" ht="46" customHeight="1">
      <c r="A248" s="24" t="inlineStr">
        <is>
          <t>EDI-006</t>
        </is>
      </c>
      <c r="B248" s="24" t="inlineStr">
        <is>
          <t>Edit Subject</t>
        </is>
      </c>
      <c r="C248" s="24" t="inlineStr">
        <is>
          <t>API failure</t>
        </is>
      </c>
      <c r="D248" s="24" t="inlineStr">
        <is>
          <t>Network mocking or a test API is available</t>
        </is>
      </c>
      <c r="E248" s="24" t="inlineStr">
        <is>
          <t>Simulate an API 4xx/5xx response</t>
        </is>
      </c>
      <c r="F248" s="24" t="inlineStr">
        <is>
          <t>See steps</t>
        </is>
      </c>
      <c r="G248" s="24" t="inlineStr">
        <is>
          <t>A readable error is shown; the UI remains usable.</t>
        </is>
      </c>
      <c r="H248" s="24" t="inlineStr">
        <is>
          <t>Not executed: requires isolated test data, credentials, or controlled API failure.</t>
        </is>
      </c>
      <c r="I248" s="24" t="inlineStr">
        <is>
          <t>Not Run</t>
        </is>
      </c>
      <c r="J248" s="24" t="inlineStr">
        <is>
          <t>Medium</t>
        </is>
      </c>
      <c r="K248" s="24" t="inlineStr">
        <is>
          <t>Functional</t>
        </is>
      </c>
      <c r="L248" s="24" t="inlineStr">
        <is>
          <t>Codex QA</t>
        </is>
      </c>
      <c r="M248" s="24" t="inlineStr">
        <is>
          <t>2026-07-20</t>
        </is>
      </c>
      <c r="N248" s="24" t="inlineStr">
        <is>
          <t>Designed from the implemented UI and service contract.</t>
        </is>
      </c>
    </row>
    <row r="249" ht="46" customHeight="1">
      <c r="A249" s="23" t="inlineStr">
        <is>
          <t>EDI-007</t>
        </is>
      </c>
      <c r="B249" s="23" t="inlineStr">
        <is>
          <t>Edit Subject</t>
        </is>
      </c>
      <c r="C249" s="23" t="inlineStr">
        <is>
          <t>Authorization</t>
        </is>
      </c>
      <c r="D249" s="23" t="inlineStr">
        <is>
          <t>No authenticated session</t>
        </is>
      </c>
      <c r="E249" s="23" t="inlineStr">
        <is>
          <t>Open the page in a fresh browser session without a token</t>
        </is>
      </c>
      <c r="F249" s="23" t="inlineStr">
        <is>
          <t>See steps</t>
        </is>
      </c>
      <c r="G249" s="23" t="inlineStr">
        <is>
          <t>User is redirected to login and protected data is not exposed.</t>
        </is>
      </c>
      <c r="H249" s="23" t="inlineStr">
        <is>
          <t>Direct access is allowed without a client-side guard; protected route is rendered.</t>
        </is>
      </c>
      <c r="I249" s="23" t="inlineStr">
        <is>
          <t>Failed</t>
        </is>
      </c>
      <c r="J249" s="23" t="inlineStr">
        <is>
          <t>High</t>
        </is>
      </c>
      <c r="K249" s="23" t="inlineStr">
        <is>
          <t>Functional</t>
        </is>
      </c>
      <c r="L249" s="23" t="inlineStr">
        <is>
          <t>Codex QA</t>
        </is>
      </c>
      <c r="M249" s="23" t="inlineStr">
        <is>
          <t>2026-07-20</t>
        </is>
      </c>
      <c r="N249" s="23" t="inlineStr">
        <is>
          <t>Logged in Bug Report as QA-SEC-001.</t>
        </is>
      </c>
    </row>
    <row r="250" ht="46" customHeight="1">
      <c r="A250" s="24" t="inlineStr">
        <is>
          <t>EDI-008</t>
        </is>
      </c>
      <c r="B250" s="24" t="inlineStr">
        <is>
          <t>Edit Subject</t>
        </is>
      </c>
      <c r="C250" s="24" t="inlineStr">
        <is>
          <t>Responsive/accessibility</t>
        </is>
      </c>
      <c r="D250" s="24" t="inlineStr">
        <is>
          <t>Page is loaded</t>
        </is>
      </c>
      <c r="E250" s="24" t="inlineStr">
        <is>
          <t>Check keyboard navigation and desktop/tablet/mobile widths</t>
        </is>
      </c>
      <c r="F250" s="24" t="inlineStr">
        <is>
          <t>See steps</t>
        </is>
      </c>
      <c r="G250" s="24" t="inlineStr">
        <is>
          <t>Labels, focus order, contrast and layout remain usable.</t>
        </is>
      </c>
      <c r="H250" s="24" t="inlineStr">
        <is>
          <t>Not executed: requires isolated test data, credentials, or controlled API failure.</t>
        </is>
      </c>
      <c r="I250" s="24" t="inlineStr">
        <is>
          <t>Not Run</t>
        </is>
      </c>
      <c r="J250" s="24" t="inlineStr">
        <is>
          <t>Medium</t>
        </is>
      </c>
      <c r="K250" s="24" t="inlineStr">
        <is>
          <t>Functional</t>
        </is>
      </c>
      <c r="L250" s="24" t="inlineStr">
        <is>
          <t>Codex QA</t>
        </is>
      </c>
      <c r="M250" s="24" t="inlineStr">
        <is>
          <t>2026-07-20</t>
        </is>
      </c>
      <c r="N250" s="24" t="inlineStr">
        <is>
          <t>Designed from the implemented UI and service contract.</t>
        </is>
      </c>
    </row>
    <row r="251" ht="46" customHeight="1">
      <c r="A251" s="23" t="inlineStr">
        <is>
          <t>ADD-001</t>
        </is>
      </c>
      <c r="B251" s="23" t="inlineStr">
        <is>
          <t>Add Subject</t>
        </is>
      </c>
      <c r="C251" s="23" t="inlineStr">
        <is>
          <t>Page load</t>
        </is>
      </c>
      <c r="D251" s="23" t="inlineStr">
        <is>
          <t>Development server is running</t>
        </is>
      </c>
      <c r="E251" s="23" t="inlineStr">
        <is>
          <t>Open Add Subject</t>
        </is>
      </c>
      <c r="F251" s="23" t="inlineStr">
        <is>
          <t>See steps</t>
        </is>
      </c>
      <c r="G251" s="23" t="inlineStr">
        <is>
          <t>The page renders with its heading, sidebar and primary controls.</t>
        </is>
      </c>
      <c r="H251" s="23" t="inlineStr">
        <is>
          <t>Route and component are available through the local development server.</t>
        </is>
      </c>
      <c r="I251" s="23" t="inlineStr">
        <is>
          <t>Passed</t>
        </is>
      </c>
      <c r="J251" s="23" t="inlineStr">
        <is>
          <t>Medium</t>
        </is>
      </c>
      <c r="K251" s="23" t="inlineStr">
        <is>
          <t>Functional</t>
        </is>
      </c>
      <c r="L251" s="23" t="inlineStr">
        <is>
          <t>Codex QA</t>
        </is>
      </c>
      <c r="M251" s="23" t="inlineStr">
        <is>
          <t>2026-07-20</t>
        </is>
      </c>
      <c r="N251" s="23" t="inlineStr">
        <is>
          <t>Smoke-tested on localhost:4200; API-backed values depend on local API data.</t>
        </is>
      </c>
    </row>
    <row r="252" ht="46" customHeight="1">
      <c r="A252" s="24" t="inlineStr">
        <is>
          <t>ADD-002</t>
        </is>
      </c>
      <c r="B252" s="24" t="inlineStr">
        <is>
          <t>Add Subject</t>
        </is>
      </c>
      <c r="C252" s="24" t="inlineStr">
        <is>
          <t>Required-field validation</t>
        </is>
      </c>
      <c r="D252" s="24" t="inlineStr">
        <is>
          <t>Page contains a form</t>
        </is>
      </c>
      <c r="E252" s="24" t="inlineStr">
        <is>
          <t>Submit the form with all mandatory fields blank</t>
        </is>
      </c>
      <c r="F252" s="24" t="inlineStr">
        <is>
          <t>See steps</t>
        </is>
      </c>
      <c r="G252" s="24" t="inlineStr">
        <is>
          <t>Submission is blocked and each required field is identified.</t>
        </is>
      </c>
      <c r="H252" s="24" t="inlineStr">
        <is>
          <t>Not executed: requires isolated test data, credentials, or controlled API failure.</t>
        </is>
      </c>
      <c r="I252" s="24" t="inlineStr">
        <is>
          <t>Not Run</t>
        </is>
      </c>
      <c r="J252" s="24" t="inlineStr">
        <is>
          <t>Medium</t>
        </is>
      </c>
      <c r="K252" s="24" t="inlineStr">
        <is>
          <t>Functional</t>
        </is>
      </c>
      <c r="L252" s="24" t="inlineStr">
        <is>
          <t>Codex QA</t>
        </is>
      </c>
      <c r="M252" s="24" t="inlineStr">
        <is>
          <t>2026-07-20</t>
        </is>
      </c>
      <c r="N252" s="24" t="inlineStr">
        <is>
          <t>Designed from the implemented UI and service contract.</t>
        </is>
      </c>
    </row>
    <row r="253" ht="46" customHeight="1">
      <c r="A253" s="23" t="inlineStr">
        <is>
          <t>ADD-003</t>
        </is>
      </c>
      <c r="B253" s="23" t="inlineStr">
        <is>
          <t>Add Subject</t>
        </is>
      </c>
      <c r="C253" s="23" t="inlineStr">
        <is>
          <t>Valid submission</t>
        </is>
      </c>
      <c r="D253" s="23" t="inlineStr">
        <is>
          <t>Dedicated non-production test data is available</t>
        </is>
      </c>
      <c r="E253" s="23" t="inlineStr">
        <is>
          <t>Enter valid values and submit</t>
        </is>
      </c>
      <c r="F253" s="23" t="inlineStr">
        <is>
          <t>See steps</t>
        </is>
      </c>
      <c r="G253" s="23" t="inlineStr">
        <is>
          <t>A success message appears and data persists once only.</t>
        </is>
      </c>
      <c r="H253" s="23" t="inlineStr">
        <is>
          <t>Not executed: requires isolated test data, credentials, or controlled API failure.</t>
        </is>
      </c>
      <c r="I253" s="23" t="inlineStr">
        <is>
          <t>Not Run</t>
        </is>
      </c>
      <c r="J253" s="23" t="inlineStr">
        <is>
          <t>High</t>
        </is>
      </c>
      <c r="K253" s="23" t="inlineStr">
        <is>
          <t>Functional</t>
        </is>
      </c>
      <c r="L253" s="23" t="inlineStr">
        <is>
          <t>Codex QA</t>
        </is>
      </c>
      <c r="M253" s="23" t="inlineStr">
        <is>
          <t>2026-07-20</t>
        </is>
      </c>
      <c r="N253" s="23" t="inlineStr">
        <is>
          <t>Designed from the implemented UI and service contract.</t>
        </is>
      </c>
    </row>
    <row r="254" ht="46" customHeight="1">
      <c r="A254" s="24" t="inlineStr">
        <is>
          <t>ADD-004</t>
        </is>
      </c>
      <c r="B254" s="24" t="inlineStr">
        <is>
          <t>Add Subject</t>
        </is>
      </c>
      <c r="C254" s="24" t="inlineStr">
        <is>
          <t>Invalid input</t>
        </is>
      </c>
      <c r="D254" s="24" t="inlineStr">
        <is>
          <t>Page is loaded</t>
        </is>
      </c>
      <c r="E254" s="24" t="inlineStr">
        <is>
          <t>Enter invalid format, boundary value, and long text</t>
        </is>
      </c>
      <c r="F254" s="24" t="inlineStr">
        <is>
          <t>See steps</t>
        </is>
      </c>
      <c r="G254" s="24" t="inlineStr">
        <is>
          <t>Invalid input is rejected with useful feedback and no request with bad data.</t>
        </is>
      </c>
      <c r="H254" s="24" t="inlineStr">
        <is>
          <t>Not executed: requires isolated test data, credentials, or controlled API failure.</t>
        </is>
      </c>
      <c r="I254" s="24" t="inlineStr">
        <is>
          <t>Not Run</t>
        </is>
      </c>
      <c r="J254" s="24" t="inlineStr">
        <is>
          <t>Medium</t>
        </is>
      </c>
      <c r="K254" s="24" t="inlineStr">
        <is>
          <t>Functional</t>
        </is>
      </c>
      <c r="L254" s="24" t="inlineStr">
        <is>
          <t>Codex QA</t>
        </is>
      </c>
      <c r="M254" s="24" t="inlineStr">
        <is>
          <t>2026-07-20</t>
        </is>
      </c>
      <c r="N254" s="24" t="inlineStr">
        <is>
          <t>Designed from the implemented UI and service contract.</t>
        </is>
      </c>
    </row>
    <row r="255" ht="46" customHeight="1">
      <c r="A255" s="23" t="inlineStr">
        <is>
          <t>ADD-005</t>
        </is>
      </c>
      <c r="B255" s="23" t="inlineStr">
        <is>
          <t>Add Subject</t>
        </is>
      </c>
      <c r="C255" s="23" t="inlineStr">
        <is>
          <t>Back/cancel navigation</t>
        </is>
      </c>
      <c r="D255" s="23" t="inlineStr">
        <is>
          <t>Page is loaded</t>
        </is>
      </c>
      <c r="E255" s="23" t="inlineStr">
        <is>
          <t>Use Back or Cancel after entering changes</t>
        </is>
      </c>
      <c r="F255" s="23" t="inlineStr">
        <is>
          <t>See steps</t>
        </is>
      </c>
      <c r="G255" s="23" t="inlineStr">
        <is>
          <t>User returns to the expected page without unintended changes.</t>
        </is>
      </c>
      <c r="H255" s="23" t="inlineStr">
        <is>
          <t>Not executed: requires isolated test data, credentials, or controlled API failure.</t>
        </is>
      </c>
      <c r="I255" s="23" t="inlineStr">
        <is>
          <t>Not Run</t>
        </is>
      </c>
      <c r="J255" s="23" t="inlineStr">
        <is>
          <t>Medium</t>
        </is>
      </c>
      <c r="K255" s="23" t="inlineStr">
        <is>
          <t>Functional</t>
        </is>
      </c>
      <c r="L255" s="23" t="inlineStr">
        <is>
          <t>Codex QA</t>
        </is>
      </c>
      <c r="M255" s="23" t="inlineStr">
        <is>
          <t>2026-07-20</t>
        </is>
      </c>
      <c r="N255" s="23" t="inlineStr">
        <is>
          <t>Designed from the implemented UI and service contract.</t>
        </is>
      </c>
    </row>
    <row r="256" ht="46" customHeight="1">
      <c r="A256" s="24" t="inlineStr">
        <is>
          <t>ADD-006</t>
        </is>
      </c>
      <c r="B256" s="24" t="inlineStr">
        <is>
          <t>Add Subject</t>
        </is>
      </c>
      <c r="C256" s="24" t="inlineStr">
        <is>
          <t>API failure</t>
        </is>
      </c>
      <c r="D256" s="24" t="inlineStr">
        <is>
          <t>Network mocking or a test API is available</t>
        </is>
      </c>
      <c r="E256" s="24" t="inlineStr">
        <is>
          <t>Simulate an API 4xx/5xx response</t>
        </is>
      </c>
      <c r="F256" s="24" t="inlineStr">
        <is>
          <t>See steps</t>
        </is>
      </c>
      <c r="G256" s="24" t="inlineStr">
        <is>
          <t>A readable error is shown; the UI remains usable.</t>
        </is>
      </c>
      <c r="H256" s="24" t="inlineStr">
        <is>
          <t>Not executed: requires isolated test data, credentials, or controlled API failure.</t>
        </is>
      </c>
      <c r="I256" s="24" t="inlineStr">
        <is>
          <t>Not Run</t>
        </is>
      </c>
      <c r="J256" s="24" t="inlineStr">
        <is>
          <t>Medium</t>
        </is>
      </c>
      <c r="K256" s="24" t="inlineStr">
        <is>
          <t>Functional</t>
        </is>
      </c>
      <c r="L256" s="24" t="inlineStr">
        <is>
          <t>Codex QA</t>
        </is>
      </c>
      <c r="M256" s="24" t="inlineStr">
        <is>
          <t>2026-07-20</t>
        </is>
      </c>
      <c r="N256" s="24" t="inlineStr">
        <is>
          <t>Designed from the implemented UI and service contract.</t>
        </is>
      </c>
    </row>
    <row r="257" ht="46" customHeight="1">
      <c r="A257" s="23" t="inlineStr">
        <is>
          <t>ADD-007</t>
        </is>
      </c>
      <c r="B257" s="23" t="inlineStr">
        <is>
          <t>Add Subject</t>
        </is>
      </c>
      <c r="C257" s="23" t="inlineStr">
        <is>
          <t>Authorization</t>
        </is>
      </c>
      <c r="D257" s="23" t="inlineStr">
        <is>
          <t>No authenticated session</t>
        </is>
      </c>
      <c r="E257" s="23" t="inlineStr">
        <is>
          <t>Open the page in a fresh browser session without a token</t>
        </is>
      </c>
      <c r="F257" s="23" t="inlineStr">
        <is>
          <t>See steps</t>
        </is>
      </c>
      <c r="G257" s="23" t="inlineStr">
        <is>
          <t>User is redirected to login and protected data is not exposed.</t>
        </is>
      </c>
      <c r="H257" s="23" t="inlineStr">
        <is>
          <t>Direct access is allowed without a client-side guard; protected route is rendered.</t>
        </is>
      </c>
      <c r="I257" s="23" t="inlineStr">
        <is>
          <t>Failed</t>
        </is>
      </c>
      <c r="J257" s="23" t="inlineStr">
        <is>
          <t>High</t>
        </is>
      </c>
      <c r="K257" s="23" t="inlineStr">
        <is>
          <t>Functional</t>
        </is>
      </c>
      <c r="L257" s="23" t="inlineStr">
        <is>
          <t>Codex QA</t>
        </is>
      </c>
      <c r="M257" s="23" t="inlineStr">
        <is>
          <t>2026-07-20</t>
        </is>
      </c>
      <c r="N257" s="23" t="inlineStr">
        <is>
          <t>Logged in Bug Report as QA-SEC-001.</t>
        </is>
      </c>
    </row>
    <row r="258" ht="46" customHeight="1">
      <c r="A258" s="24" t="inlineStr">
        <is>
          <t>ADD-008</t>
        </is>
      </c>
      <c r="B258" s="24" t="inlineStr">
        <is>
          <t>Add Subject</t>
        </is>
      </c>
      <c r="C258" s="24" t="inlineStr">
        <is>
          <t>Responsive/accessibility</t>
        </is>
      </c>
      <c r="D258" s="24" t="inlineStr">
        <is>
          <t>Page is loaded</t>
        </is>
      </c>
      <c r="E258" s="24" t="inlineStr">
        <is>
          <t>Check keyboard navigation and desktop/tablet/mobile widths</t>
        </is>
      </c>
      <c r="F258" s="24" t="inlineStr">
        <is>
          <t>See steps</t>
        </is>
      </c>
      <c r="G258" s="24" t="inlineStr">
        <is>
          <t>Labels, focus order, contrast and layout remain usable.</t>
        </is>
      </c>
      <c r="H258" s="24" t="inlineStr">
        <is>
          <t>Not executed: requires isolated test data, credentials, or controlled API failure.</t>
        </is>
      </c>
      <c r="I258" s="24" t="inlineStr">
        <is>
          <t>Not Run</t>
        </is>
      </c>
      <c r="J258" s="24" t="inlineStr">
        <is>
          <t>Medium</t>
        </is>
      </c>
      <c r="K258" s="24" t="inlineStr">
        <is>
          <t>Functional</t>
        </is>
      </c>
      <c r="L258" s="24" t="inlineStr">
        <is>
          <t>Codex QA</t>
        </is>
      </c>
      <c r="M258" s="24" t="inlineStr">
        <is>
          <t>2026-07-20</t>
        </is>
      </c>
      <c r="N258" s="24" t="inlineStr">
        <is>
          <t>Designed from the implemented UI and service contract.</t>
        </is>
      </c>
    </row>
    <row r="259" ht="46" customHeight="1">
      <c r="A259" s="23" t="inlineStr">
        <is>
          <t>NOT-001</t>
        </is>
      </c>
      <c r="B259" s="23" t="inlineStr">
        <is>
          <t>Notifications</t>
        </is>
      </c>
      <c r="C259" s="23" t="inlineStr">
        <is>
          <t>Page load</t>
        </is>
      </c>
      <c r="D259" s="23" t="inlineStr">
        <is>
          <t>Development server is running</t>
        </is>
      </c>
      <c r="E259" s="23" t="inlineStr">
        <is>
          <t>Open Notifications List</t>
        </is>
      </c>
      <c r="F259" s="23" t="inlineStr">
        <is>
          <t>See steps</t>
        </is>
      </c>
      <c r="G259" s="23" t="inlineStr">
        <is>
          <t>The page renders with its heading, sidebar and primary controls.</t>
        </is>
      </c>
      <c r="H259" s="23" t="inlineStr">
        <is>
          <t>Route and component are available through the local development server.</t>
        </is>
      </c>
      <c r="I259" s="23" t="inlineStr">
        <is>
          <t>Passed</t>
        </is>
      </c>
      <c r="J259" s="23" t="inlineStr">
        <is>
          <t>Medium</t>
        </is>
      </c>
      <c r="K259" s="23" t="inlineStr">
        <is>
          <t>Functional</t>
        </is>
      </c>
      <c r="L259" s="23" t="inlineStr">
        <is>
          <t>Codex QA</t>
        </is>
      </c>
      <c r="M259" s="23" t="inlineStr">
        <is>
          <t>2026-07-20</t>
        </is>
      </c>
      <c r="N259" s="23" t="inlineStr">
        <is>
          <t>Smoke-tested on localhost:4200; API-backed values depend on local API data.</t>
        </is>
      </c>
    </row>
    <row r="260" ht="46" customHeight="1">
      <c r="A260" s="24" t="inlineStr">
        <is>
          <t>NOT-002</t>
        </is>
      </c>
      <c r="B260" s="24" t="inlineStr">
        <is>
          <t>Notifications</t>
        </is>
      </c>
      <c r="C260" s="24" t="inlineStr">
        <is>
          <t>Required-field validation</t>
        </is>
      </c>
      <c r="D260" s="24" t="inlineStr">
        <is>
          <t>Page contains a form</t>
        </is>
      </c>
      <c r="E260" s="24" t="inlineStr">
        <is>
          <t>Submit the form with all mandatory fields blank</t>
        </is>
      </c>
      <c r="F260" s="24" t="inlineStr">
        <is>
          <t>See steps</t>
        </is>
      </c>
      <c r="G260" s="24" t="inlineStr">
        <is>
          <t>Submission is blocked and each required field is identified.</t>
        </is>
      </c>
      <c r="H260" s="24" t="inlineStr">
        <is>
          <t>Not executed: requires isolated test data, credentials, or controlled API failure.</t>
        </is>
      </c>
      <c r="I260" s="24" t="inlineStr">
        <is>
          <t>Not Run</t>
        </is>
      </c>
      <c r="J260" s="24" t="inlineStr">
        <is>
          <t>Medium</t>
        </is>
      </c>
      <c r="K260" s="24" t="inlineStr">
        <is>
          <t>Functional</t>
        </is>
      </c>
      <c r="L260" s="24" t="inlineStr">
        <is>
          <t>Codex QA</t>
        </is>
      </c>
      <c r="M260" s="24" t="inlineStr">
        <is>
          <t>2026-07-20</t>
        </is>
      </c>
      <c r="N260" s="24" t="inlineStr">
        <is>
          <t>Designed from the implemented UI and service contract.</t>
        </is>
      </c>
    </row>
    <row r="261" ht="46" customHeight="1">
      <c r="A261" s="23" t="inlineStr">
        <is>
          <t>NOT-003</t>
        </is>
      </c>
      <c r="B261" s="23" t="inlineStr">
        <is>
          <t>Notifications</t>
        </is>
      </c>
      <c r="C261" s="23" t="inlineStr">
        <is>
          <t>Valid submission</t>
        </is>
      </c>
      <c r="D261" s="23" t="inlineStr">
        <is>
          <t>Dedicated non-production test data is available</t>
        </is>
      </c>
      <c r="E261" s="23" t="inlineStr">
        <is>
          <t>Enter valid values and submit</t>
        </is>
      </c>
      <c r="F261" s="23" t="inlineStr">
        <is>
          <t>See steps</t>
        </is>
      </c>
      <c r="G261" s="23" t="inlineStr">
        <is>
          <t>A success message appears and data persists once only.</t>
        </is>
      </c>
      <c r="H261" s="23" t="inlineStr">
        <is>
          <t>Not executed: requires isolated test data, credentials, or controlled API failure.</t>
        </is>
      </c>
      <c r="I261" s="23" t="inlineStr">
        <is>
          <t>Not Run</t>
        </is>
      </c>
      <c r="J261" s="23" t="inlineStr">
        <is>
          <t>High</t>
        </is>
      </c>
      <c r="K261" s="23" t="inlineStr">
        <is>
          <t>Functional</t>
        </is>
      </c>
      <c r="L261" s="23" t="inlineStr">
        <is>
          <t>Codex QA</t>
        </is>
      </c>
      <c r="M261" s="23" t="inlineStr">
        <is>
          <t>2026-07-20</t>
        </is>
      </c>
      <c r="N261" s="23" t="inlineStr">
        <is>
          <t>Designed from the implemented UI and service contract.</t>
        </is>
      </c>
    </row>
    <row r="262" ht="46" customHeight="1">
      <c r="A262" s="24" t="inlineStr">
        <is>
          <t>NOT-004</t>
        </is>
      </c>
      <c r="B262" s="24" t="inlineStr">
        <is>
          <t>Notifications</t>
        </is>
      </c>
      <c r="C262" s="24" t="inlineStr">
        <is>
          <t>Invalid input</t>
        </is>
      </c>
      <c r="D262" s="24" t="inlineStr">
        <is>
          <t>Page is loaded</t>
        </is>
      </c>
      <c r="E262" s="24" t="inlineStr">
        <is>
          <t>Enter invalid format, boundary value, and long text</t>
        </is>
      </c>
      <c r="F262" s="24" t="inlineStr">
        <is>
          <t>See steps</t>
        </is>
      </c>
      <c r="G262" s="24" t="inlineStr">
        <is>
          <t>Invalid input is rejected with useful feedback and no request with bad data.</t>
        </is>
      </c>
      <c r="H262" s="24" t="inlineStr">
        <is>
          <t>Not executed: requires isolated test data, credentials, or controlled API failure.</t>
        </is>
      </c>
      <c r="I262" s="24" t="inlineStr">
        <is>
          <t>Not Run</t>
        </is>
      </c>
      <c r="J262" s="24" t="inlineStr">
        <is>
          <t>Medium</t>
        </is>
      </c>
      <c r="K262" s="24" t="inlineStr">
        <is>
          <t>Functional</t>
        </is>
      </c>
      <c r="L262" s="24" t="inlineStr">
        <is>
          <t>Codex QA</t>
        </is>
      </c>
      <c r="M262" s="24" t="inlineStr">
        <is>
          <t>2026-07-20</t>
        </is>
      </c>
      <c r="N262" s="24" t="inlineStr">
        <is>
          <t>Designed from the implemented UI and service contract.</t>
        </is>
      </c>
    </row>
    <row r="263" ht="46" customHeight="1">
      <c r="A263" s="23" t="inlineStr">
        <is>
          <t>NOT-005</t>
        </is>
      </c>
      <c r="B263" s="23" t="inlineStr">
        <is>
          <t>Notifications</t>
        </is>
      </c>
      <c r="C263" s="23" t="inlineStr">
        <is>
          <t>Back/cancel navigation</t>
        </is>
      </c>
      <c r="D263" s="23" t="inlineStr">
        <is>
          <t>Page is loaded</t>
        </is>
      </c>
      <c r="E263" s="23" t="inlineStr">
        <is>
          <t>Use Back or Cancel after entering changes</t>
        </is>
      </c>
      <c r="F263" s="23" t="inlineStr">
        <is>
          <t>See steps</t>
        </is>
      </c>
      <c r="G263" s="23" t="inlineStr">
        <is>
          <t>User returns to the expected page without unintended changes.</t>
        </is>
      </c>
      <c r="H263" s="23" t="inlineStr">
        <is>
          <t>Not executed: requires isolated test data, credentials, or controlled API failure.</t>
        </is>
      </c>
      <c r="I263" s="23" t="inlineStr">
        <is>
          <t>Not Run</t>
        </is>
      </c>
      <c r="J263" s="23" t="inlineStr">
        <is>
          <t>Medium</t>
        </is>
      </c>
      <c r="K263" s="23" t="inlineStr">
        <is>
          <t>Functional</t>
        </is>
      </c>
      <c r="L263" s="23" t="inlineStr">
        <is>
          <t>Codex QA</t>
        </is>
      </c>
      <c r="M263" s="23" t="inlineStr">
        <is>
          <t>2026-07-20</t>
        </is>
      </c>
      <c r="N263" s="23" t="inlineStr">
        <is>
          <t>Designed from the implemented UI and service contract.</t>
        </is>
      </c>
    </row>
    <row r="264" ht="46" customHeight="1">
      <c r="A264" s="24" t="inlineStr">
        <is>
          <t>NOT-006</t>
        </is>
      </c>
      <c r="B264" s="24" t="inlineStr">
        <is>
          <t>Notifications</t>
        </is>
      </c>
      <c r="C264" s="24" t="inlineStr">
        <is>
          <t>API failure</t>
        </is>
      </c>
      <c r="D264" s="24" t="inlineStr">
        <is>
          <t>Network mocking or a test API is available</t>
        </is>
      </c>
      <c r="E264" s="24" t="inlineStr">
        <is>
          <t>Simulate an API 4xx/5xx response</t>
        </is>
      </c>
      <c r="F264" s="24" t="inlineStr">
        <is>
          <t>See steps</t>
        </is>
      </c>
      <c r="G264" s="24" t="inlineStr">
        <is>
          <t>A readable error is shown; the UI remains usable.</t>
        </is>
      </c>
      <c r="H264" s="24" t="inlineStr">
        <is>
          <t>Not executed: requires isolated test data, credentials, or controlled API failure.</t>
        </is>
      </c>
      <c r="I264" s="24" t="inlineStr">
        <is>
          <t>Not Run</t>
        </is>
      </c>
      <c r="J264" s="24" t="inlineStr">
        <is>
          <t>Medium</t>
        </is>
      </c>
      <c r="K264" s="24" t="inlineStr">
        <is>
          <t>Functional</t>
        </is>
      </c>
      <c r="L264" s="24" t="inlineStr">
        <is>
          <t>Codex QA</t>
        </is>
      </c>
      <c r="M264" s="24" t="inlineStr">
        <is>
          <t>2026-07-20</t>
        </is>
      </c>
      <c r="N264" s="24" t="inlineStr">
        <is>
          <t>Designed from the implemented UI and service contract.</t>
        </is>
      </c>
    </row>
    <row r="265" ht="46" customHeight="1">
      <c r="A265" s="23" t="inlineStr">
        <is>
          <t>NOT-007</t>
        </is>
      </c>
      <c r="B265" s="23" t="inlineStr">
        <is>
          <t>Notifications</t>
        </is>
      </c>
      <c r="C265" s="23" t="inlineStr">
        <is>
          <t>Authorization</t>
        </is>
      </c>
      <c r="D265" s="23" t="inlineStr">
        <is>
          <t>No authenticated session</t>
        </is>
      </c>
      <c r="E265" s="23" t="inlineStr">
        <is>
          <t>Open the page in a fresh browser session without a token</t>
        </is>
      </c>
      <c r="F265" s="23" t="inlineStr">
        <is>
          <t>See steps</t>
        </is>
      </c>
      <c r="G265" s="23" t="inlineStr">
        <is>
          <t>User is redirected to login and protected data is not exposed.</t>
        </is>
      </c>
      <c r="H265" s="23" t="inlineStr">
        <is>
          <t>Direct access is allowed without a client-side guard; protected route is rendered.</t>
        </is>
      </c>
      <c r="I265" s="23" t="inlineStr">
        <is>
          <t>Failed</t>
        </is>
      </c>
      <c r="J265" s="23" t="inlineStr">
        <is>
          <t>High</t>
        </is>
      </c>
      <c r="K265" s="23" t="inlineStr">
        <is>
          <t>Functional</t>
        </is>
      </c>
      <c r="L265" s="23" t="inlineStr">
        <is>
          <t>Codex QA</t>
        </is>
      </c>
      <c r="M265" s="23" t="inlineStr">
        <is>
          <t>2026-07-20</t>
        </is>
      </c>
      <c r="N265" s="23" t="inlineStr">
        <is>
          <t>Logged in Bug Report as QA-SEC-001.</t>
        </is>
      </c>
    </row>
    <row r="266" ht="46" customHeight="1">
      <c r="A266" s="24" t="inlineStr">
        <is>
          <t>NOT-008</t>
        </is>
      </c>
      <c r="B266" s="24" t="inlineStr">
        <is>
          <t>Notifications</t>
        </is>
      </c>
      <c r="C266" s="24" t="inlineStr">
        <is>
          <t>Responsive/accessibility</t>
        </is>
      </c>
      <c r="D266" s="24" t="inlineStr">
        <is>
          <t>Page is loaded</t>
        </is>
      </c>
      <c r="E266" s="24" t="inlineStr">
        <is>
          <t>Check keyboard navigation and desktop/tablet/mobile widths</t>
        </is>
      </c>
      <c r="F266" s="24" t="inlineStr">
        <is>
          <t>See steps</t>
        </is>
      </c>
      <c r="G266" s="24" t="inlineStr">
        <is>
          <t>Labels, focus order, contrast and layout remain usable.</t>
        </is>
      </c>
      <c r="H266" s="24" t="inlineStr">
        <is>
          <t>Not executed: requires isolated test data, credentials, or controlled API failure.</t>
        </is>
      </c>
      <c r="I266" s="24" t="inlineStr">
        <is>
          <t>Not Run</t>
        </is>
      </c>
      <c r="J266" s="24" t="inlineStr">
        <is>
          <t>Medium</t>
        </is>
      </c>
      <c r="K266" s="24" t="inlineStr">
        <is>
          <t>Functional</t>
        </is>
      </c>
      <c r="L266" s="24" t="inlineStr">
        <is>
          <t>Codex QA</t>
        </is>
      </c>
      <c r="M266" s="24" t="inlineStr">
        <is>
          <t>2026-07-20</t>
        </is>
      </c>
      <c r="N266" s="24" t="inlineStr">
        <is>
          <t>Designed from the implemented UI and service contract.</t>
        </is>
      </c>
    </row>
    <row r="267" ht="46" customHeight="1">
      <c r="A267" s="23" t="inlineStr">
        <is>
          <t>SEN-001</t>
        </is>
      </c>
      <c r="B267" s="23" t="inlineStr">
        <is>
          <t>Send Notification</t>
        </is>
      </c>
      <c r="C267" s="23" t="inlineStr">
        <is>
          <t>Page load</t>
        </is>
      </c>
      <c r="D267" s="23" t="inlineStr">
        <is>
          <t>Development server is running</t>
        </is>
      </c>
      <c r="E267" s="23" t="inlineStr">
        <is>
          <t>Open Send Notification</t>
        </is>
      </c>
      <c r="F267" s="23" t="inlineStr">
        <is>
          <t>See steps</t>
        </is>
      </c>
      <c r="G267" s="23" t="inlineStr">
        <is>
          <t>The page renders with its heading, sidebar and primary controls.</t>
        </is>
      </c>
      <c r="H267" s="23" t="inlineStr">
        <is>
          <t>Route and component are available through the local development server.</t>
        </is>
      </c>
      <c r="I267" s="23" t="inlineStr">
        <is>
          <t>Passed</t>
        </is>
      </c>
      <c r="J267" s="23" t="inlineStr">
        <is>
          <t>Medium</t>
        </is>
      </c>
      <c r="K267" s="23" t="inlineStr">
        <is>
          <t>Functional</t>
        </is>
      </c>
      <c r="L267" s="23" t="inlineStr">
        <is>
          <t>Codex QA</t>
        </is>
      </c>
      <c r="M267" s="23" t="inlineStr">
        <is>
          <t>2026-07-20</t>
        </is>
      </c>
      <c r="N267" s="23" t="inlineStr">
        <is>
          <t>Smoke-tested on localhost:4200; API-backed values depend on local API data.</t>
        </is>
      </c>
    </row>
    <row r="268" ht="46" customHeight="1">
      <c r="A268" s="24" t="inlineStr">
        <is>
          <t>SEN-002</t>
        </is>
      </c>
      <c r="B268" s="24" t="inlineStr">
        <is>
          <t>Send Notification</t>
        </is>
      </c>
      <c r="C268" s="24" t="inlineStr">
        <is>
          <t>Required-field validation</t>
        </is>
      </c>
      <c r="D268" s="24" t="inlineStr">
        <is>
          <t>Page contains a form</t>
        </is>
      </c>
      <c r="E268" s="24" t="inlineStr">
        <is>
          <t>Submit the form with all mandatory fields blank</t>
        </is>
      </c>
      <c r="F268" s="24" t="inlineStr">
        <is>
          <t>See steps</t>
        </is>
      </c>
      <c r="G268" s="24" t="inlineStr">
        <is>
          <t>Submission is blocked and each required field is identified.</t>
        </is>
      </c>
      <c r="H268" s="24" t="inlineStr">
        <is>
          <t>Not executed: requires isolated test data, credentials, or controlled API failure.</t>
        </is>
      </c>
      <c r="I268" s="24" t="inlineStr">
        <is>
          <t>Not Run</t>
        </is>
      </c>
      <c r="J268" s="24" t="inlineStr">
        <is>
          <t>Medium</t>
        </is>
      </c>
      <c r="K268" s="24" t="inlineStr">
        <is>
          <t>Functional</t>
        </is>
      </c>
      <c r="L268" s="24" t="inlineStr">
        <is>
          <t>Codex QA</t>
        </is>
      </c>
      <c r="M268" s="24" t="inlineStr">
        <is>
          <t>2026-07-20</t>
        </is>
      </c>
      <c r="N268" s="24" t="inlineStr">
        <is>
          <t>Designed from the implemented UI and service contract.</t>
        </is>
      </c>
    </row>
    <row r="269" ht="46" customHeight="1">
      <c r="A269" s="23" t="inlineStr">
        <is>
          <t>SEN-003</t>
        </is>
      </c>
      <c r="B269" s="23" t="inlineStr">
        <is>
          <t>Send Notification</t>
        </is>
      </c>
      <c r="C269" s="23" t="inlineStr">
        <is>
          <t>Valid submission</t>
        </is>
      </c>
      <c r="D269" s="23" t="inlineStr">
        <is>
          <t>Dedicated non-production test data is available</t>
        </is>
      </c>
      <c r="E269" s="23" t="inlineStr">
        <is>
          <t>Enter valid values and submit</t>
        </is>
      </c>
      <c r="F269" s="23" t="inlineStr">
        <is>
          <t>See steps</t>
        </is>
      </c>
      <c r="G269" s="23" t="inlineStr">
        <is>
          <t>A success message appears and data persists once only.</t>
        </is>
      </c>
      <c r="H269" s="23" t="inlineStr">
        <is>
          <t>Not executed: requires isolated test data, credentials, or controlled API failure.</t>
        </is>
      </c>
      <c r="I269" s="23" t="inlineStr">
        <is>
          <t>Not Run</t>
        </is>
      </c>
      <c r="J269" s="23" t="inlineStr">
        <is>
          <t>High</t>
        </is>
      </c>
      <c r="K269" s="23" t="inlineStr">
        <is>
          <t>Functional</t>
        </is>
      </c>
      <c r="L269" s="23" t="inlineStr">
        <is>
          <t>Codex QA</t>
        </is>
      </c>
      <c r="M269" s="23" t="inlineStr">
        <is>
          <t>2026-07-20</t>
        </is>
      </c>
      <c r="N269" s="23" t="inlineStr">
        <is>
          <t>Designed from the implemented UI and service contract.</t>
        </is>
      </c>
    </row>
    <row r="270" ht="46" customHeight="1">
      <c r="A270" s="24" t="inlineStr">
        <is>
          <t>SEN-004</t>
        </is>
      </c>
      <c r="B270" s="24" t="inlineStr">
        <is>
          <t>Send Notification</t>
        </is>
      </c>
      <c r="C270" s="24" t="inlineStr">
        <is>
          <t>Invalid input</t>
        </is>
      </c>
      <c r="D270" s="24" t="inlineStr">
        <is>
          <t>Page is loaded</t>
        </is>
      </c>
      <c r="E270" s="24" t="inlineStr">
        <is>
          <t>Enter invalid format, boundary value, and long text</t>
        </is>
      </c>
      <c r="F270" s="24" t="inlineStr">
        <is>
          <t>See steps</t>
        </is>
      </c>
      <c r="G270" s="24" t="inlineStr">
        <is>
          <t>Invalid input is rejected with useful feedback and no request with bad data.</t>
        </is>
      </c>
      <c r="H270" s="24" t="inlineStr">
        <is>
          <t>Not executed: requires isolated test data, credentials, or controlled API failure.</t>
        </is>
      </c>
      <c r="I270" s="24" t="inlineStr">
        <is>
          <t>Not Run</t>
        </is>
      </c>
      <c r="J270" s="24" t="inlineStr">
        <is>
          <t>Medium</t>
        </is>
      </c>
      <c r="K270" s="24" t="inlineStr">
        <is>
          <t>Functional</t>
        </is>
      </c>
      <c r="L270" s="24" t="inlineStr">
        <is>
          <t>Codex QA</t>
        </is>
      </c>
      <c r="M270" s="24" t="inlineStr">
        <is>
          <t>2026-07-20</t>
        </is>
      </c>
      <c r="N270" s="24" t="inlineStr">
        <is>
          <t>Designed from the implemented UI and service contract.</t>
        </is>
      </c>
    </row>
    <row r="271" ht="46" customHeight="1">
      <c r="A271" s="23" t="inlineStr">
        <is>
          <t>SEN-005</t>
        </is>
      </c>
      <c r="B271" s="23" t="inlineStr">
        <is>
          <t>Send Notification</t>
        </is>
      </c>
      <c r="C271" s="23" t="inlineStr">
        <is>
          <t>Back/cancel navigation</t>
        </is>
      </c>
      <c r="D271" s="23" t="inlineStr">
        <is>
          <t>Page is loaded</t>
        </is>
      </c>
      <c r="E271" s="23" t="inlineStr">
        <is>
          <t>Use Back or Cancel after entering changes</t>
        </is>
      </c>
      <c r="F271" s="23" t="inlineStr">
        <is>
          <t>See steps</t>
        </is>
      </c>
      <c r="G271" s="23" t="inlineStr">
        <is>
          <t>User returns to the expected page without unintended changes.</t>
        </is>
      </c>
      <c r="H271" s="23" t="inlineStr">
        <is>
          <t>Not executed: requires isolated test data, credentials, or controlled API failure.</t>
        </is>
      </c>
      <c r="I271" s="23" t="inlineStr">
        <is>
          <t>Not Run</t>
        </is>
      </c>
      <c r="J271" s="23" t="inlineStr">
        <is>
          <t>Medium</t>
        </is>
      </c>
      <c r="K271" s="23" t="inlineStr">
        <is>
          <t>Functional</t>
        </is>
      </c>
      <c r="L271" s="23" t="inlineStr">
        <is>
          <t>Codex QA</t>
        </is>
      </c>
      <c r="M271" s="23" t="inlineStr">
        <is>
          <t>2026-07-20</t>
        </is>
      </c>
      <c r="N271" s="23" t="inlineStr">
        <is>
          <t>Designed from the implemented UI and service contract.</t>
        </is>
      </c>
    </row>
    <row r="272" ht="46" customHeight="1">
      <c r="A272" s="24" t="inlineStr">
        <is>
          <t>SEN-006</t>
        </is>
      </c>
      <c r="B272" s="24" t="inlineStr">
        <is>
          <t>Send Notification</t>
        </is>
      </c>
      <c r="C272" s="24" t="inlineStr">
        <is>
          <t>API failure</t>
        </is>
      </c>
      <c r="D272" s="24" t="inlineStr">
        <is>
          <t>Network mocking or a test API is available</t>
        </is>
      </c>
      <c r="E272" s="24" t="inlineStr">
        <is>
          <t>Simulate an API 4xx/5xx response</t>
        </is>
      </c>
      <c r="F272" s="24" t="inlineStr">
        <is>
          <t>See steps</t>
        </is>
      </c>
      <c r="G272" s="24" t="inlineStr">
        <is>
          <t>A readable error is shown; the UI remains usable.</t>
        </is>
      </c>
      <c r="H272" s="24" t="inlineStr">
        <is>
          <t>Not executed: requires isolated test data, credentials, or controlled API failure.</t>
        </is>
      </c>
      <c r="I272" s="24" t="inlineStr">
        <is>
          <t>Not Run</t>
        </is>
      </c>
      <c r="J272" s="24" t="inlineStr">
        <is>
          <t>Medium</t>
        </is>
      </c>
      <c r="K272" s="24" t="inlineStr">
        <is>
          <t>Functional</t>
        </is>
      </c>
      <c r="L272" s="24" t="inlineStr">
        <is>
          <t>Codex QA</t>
        </is>
      </c>
      <c r="M272" s="24" t="inlineStr">
        <is>
          <t>2026-07-20</t>
        </is>
      </c>
      <c r="N272" s="24" t="inlineStr">
        <is>
          <t>Designed from the implemented UI and service contract.</t>
        </is>
      </c>
    </row>
    <row r="273" ht="46" customHeight="1">
      <c r="A273" s="23" t="inlineStr">
        <is>
          <t>SEN-007</t>
        </is>
      </c>
      <c r="B273" s="23" t="inlineStr">
        <is>
          <t>Send Notification</t>
        </is>
      </c>
      <c r="C273" s="23" t="inlineStr">
        <is>
          <t>Authorization</t>
        </is>
      </c>
      <c r="D273" s="23" t="inlineStr">
        <is>
          <t>No authenticated session</t>
        </is>
      </c>
      <c r="E273" s="23" t="inlineStr">
        <is>
          <t>Open the page in a fresh browser session without a token</t>
        </is>
      </c>
      <c r="F273" s="23" t="inlineStr">
        <is>
          <t>See steps</t>
        </is>
      </c>
      <c r="G273" s="23" t="inlineStr">
        <is>
          <t>User is redirected to login and protected data is not exposed.</t>
        </is>
      </c>
      <c r="H273" s="23" t="inlineStr">
        <is>
          <t>Direct access is allowed without a client-side guard; protected route is rendered.</t>
        </is>
      </c>
      <c r="I273" s="23" t="inlineStr">
        <is>
          <t>Failed</t>
        </is>
      </c>
      <c r="J273" s="23" t="inlineStr">
        <is>
          <t>High</t>
        </is>
      </c>
      <c r="K273" s="23" t="inlineStr">
        <is>
          <t>Functional</t>
        </is>
      </c>
      <c r="L273" s="23" t="inlineStr">
        <is>
          <t>Codex QA</t>
        </is>
      </c>
      <c r="M273" s="23" t="inlineStr">
        <is>
          <t>2026-07-20</t>
        </is>
      </c>
      <c r="N273" s="23" t="inlineStr">
        <is>
          <t>Logged in Bug Report as QA-SEC-001.</t>
        </is>
      </c>
    </row>
    <row r="274" ht="46" customHeight="1">
      <c r="A274" s="24" t="inlineStr">
        <is>
          <t>SEN-008</t>
        </is>
      </c>
      <c r="B274" s="24" t="inlineStr">
        <is>
          <t>Send Notification</t>
        </is>
      </c>
      <c r="C274" s="24" t="inlineStr">
        <is>
          <t>Responsive/accessibility</t>
        </is>
      </c>
      <c r="D274" s="24" t="inlineStr">
        <is>
          <t>Page is loaded</t>
        </is>
      </c>
      <c r="E274" s="24" t="inlineStr">
        <is>
          <t>Check keyboard navigation and desktop/tablet/mobile widths</t>
        </is>
      </c>
      <c r="F274" s="24" t="inlineStr">
        <is>
          <t>See steps</t>
        </is>
      </c>
      <c r="G274" s="24" t="inlineStr">
        <is>
          <t>Labels, focus order, contrast and layout remain usable.</t>
        </is>
      </c>
      <c r="H274" s="24" t="inlineStr">
        <is>
          <t>Not executed: requires isolated test data, credentials, or controlled API failure.</t>
        </is>
      </c>
      <c r="I274" s="24" t="inlineStr">
        <is>
          <t>Not Run</t>
        </is>
      </c>
      <c r="J274" s="24" t="inlineStr">
        <is>
          <t>Medium</t>
        </is>
      </c>
      <c r="K274" s="24" t="inlineStr">
        <is>
          <t>Functional</t>
        </is>
      </c>
      <c r="L274" s="24" t="inlineStr">
        <is>
          <t>Codex QA</t>
        </is>
      </c>
      <c r="M274" s="24" t="inlineStr">
        <is>
          <t>2026-07-20</t>
        </is>
      </c>
      <c r="N274" s="24" t="inlineStr">
        <is>
          <t>Designed from the implemented UI and service contract.</t>
        </is>
      </c>
    </row>
    <row r="275" ht="46" customHeight="1">
      <c r="A275" s="23" t="inlineStr">
        <is>
          <t>SET-001</t>
        </is>
      </c>
      <c r="B275" s="23" t="inlineStr">
        <is>
          <t>Settings</t>
        </is>
      </c>
      <c r="C275" s="23" t="inlineStr">
        <is>
          <t>Page load</t>
        </is>
      </c>
      <c r="D275" s="23" t="inlineStr">
        <is>
          <t>Development server is running</t>
        </is>
      </c>
      <c r="E275" s="23" t="inlineStr">
        <is>
          <t>Open Settings</t>
        </is>
      </c>
      <c r="F275" s="23" t="inlineStr">
        <is>
          <t>See steps</t>
        </is>
      </c>
      <c r="G275" s="23" t="inlineStr">
        <is>
          <t>The page renders with its heading, sidebar and primary controls.</t>
        </is>
      </c>
      <c r="H275" s="23" t="inlineStr">
        <is>
          <t>Route and component are available through the local development server.</t>
        </is>
      </c>
      <c r="I275" s="23" t="inlineStr">
        <is>
          <t>Passed</t>
        </is>
      </c>
      <c r="J275" s="23" t="inlineStr">
        <is>
          <t>Medium</t>
        </is>
      </c>
      <c r="K275" s="23" t="inlineStr">
        <is>
          <t>Functional</t>
        </is>
      </c>
      <c r="L275" s="23" t="inlineStr">
        <is>
          <t>Codex QA</t>
        </is>
      </c>
      <c r="M275" s="23" t="inlineStr">
        <is>
          <t>2026-07-20</t>
        </is>
      </c>
      <c r="N275" s="23" t="inlineStr">
        <is>
          <t>Smoke-tested on localhost:4200; API-backed values depend on local API data.</t>
        </is>
      </c>
    </row>
    <row r="276" ht="46" customHeight="1">
      <c r="A276" s="24" t="inlineStr">
        <is>
          <t>SET-002</t>
        </is>
      </c>
      <c r="B276" s="24" t="inlineStr">
        <is>
          <t>Settings</t>
        </is>
      </c>
      <c r="C276" s="24" t="inlineStr">
        <is>
          <t>Required-field validation</t>
        </is>
      </c>
      <c r="D276" s="24" t="inlineStr">
        <is>
          <t>Page contains a form</t>
        </is>
      </c>
      <c r="E276" s="24" t="inlineStr">
        <is>
          <t>Submit the form with all mandatory fields blank</t>
        </is>
      </c>
      <c r="F276" s="24" t="inlineStr">
        <is>
          <t>See steps</t>
        </is>
      </c>
      <c r="G276" s="24" t="inlineStr">
        <is>
          <t>Submission is blocked and each required field is identified.</t>
        </is>
      </c>
      <c r="H276" s="24" t="inlineStr">
        <is>
          <t>Not executed: requires isolated test data, credentials, or controlled API failure.</t>
        </is>
      </c>
      <c r="I276" s="24" t="inlineStr">
        <is>
          <t>Not Run</t>
        </is>
      </c>
      <c r="J276" s="24" t="inlineStr">
        <is>
          <t>Medium</t>
        </is>
      </c>
      <c r="K276" s="24" t="inlineStr">
        <is>
          <t>Functional</t>
        </is>
      </c>
      <c r="L276" s="24" t="inlineStr">
        <is>
          <t>Codex QA</t>
        </is>
      </c>
      <c r="M276" s="24" t="inlineStr">
        <is>
          <t>2026-07-20</t>
        </is>
      </c>
      <c r="N276" s="24" t="inlineStr">
        <is>
          <t>Designed from the implemented UI and service contract.</t>
        </is>
      </c>
    </row>
    <row r="277" ht="46" customHeight="1">
      <c r="A277" s="23" t="inlineStr">
        <is>
          <t>SET-003</t>
        </is>
      </c>
      <c r="B277" s="23" t="inlineStr">
        <is>
          <t>Settings</t>
        </is>
      </c>
      <c r="C277" s="23" t="inlineStr">
        <is>
          <t>Valid submission</t>
        </is>
      </c>
      <c r="D277" s="23" t="inlineStr">
        <is>
          <t>Dedicated non-production test data is available</t>
        </is>
      </c>
      <c r="E277" s="23" t="inlineStr">
        <is>
          <t>Enter valid values and submit</t>
        </is>
      </c>
      <c r="F277" s="23" t="inlineStr">
        <is>
          <t>See steps</t>
        </is>
      </c>
      <c r="G277" s="23" t="inlineStr">
        <is>
          <t>A success message appears and data persists once only.</t>
        </is>
      </c>
      <c r="H277" s="23" t="inlineStr">
        <is>
          <t>Not executed: requires isolated test data, credentials, or controlled API failure.</t>
        </is>
      </c>
      <c r="I277" s="23" t="inlineStr">
        <is>
          <t>Not Run</t>
        </is>
      </c>
      <c r="J277" s="23" t="inlineStr">
        <is>
          <t>High</t>
        </is>
      </c>
      <c r="K277" s="23" t="inlineStr">
        <is>
          <t>Functional</t>
        </is>
      </c>
      <c r="L277" s="23" t="inlineStr">
        <is>
          <t>Codex QA</t>
        </is>
      </c>
      <c r="M277" s="23" t="inlineStr">
        <is>
          <t>2026-07-20</t>
        </is>
      </c>
      <c r="N277" s="23" t="inlineStr">
        <is>
          <t>Designed from the implemented UI and service contract.</t>
        </is>
      </c>
    </row>
    <row r="278" ht="46" customHeight="1">
      <c r="A278" s="24" t="inlineStr">
        <is>
          <t>SET-004</t>
        </is>
      </c>
      <c r="B278" s="24" t="inlineStr">
        <is>
          <t>Settings</t>
        </is>
      </c>
      <c r="C278" s="24" t="inlineStr">
        <is>
          <t>Invalid input</t>
        </is>
      </c>
      <c r="D278" s="24" t="inlineStr">
        <is>
          <t>Page is loaded</t>
        </is>
      </c>
      <c r="E278" s="24" t="inlineStr">
        <is>
          <t>Enter invalid format, boundary value, and long text</t>
        </is>
      </c>
      <c r="F278" s="24" t="inlineStr">
        <is>
          <t>See steps</t>
        </is>
      </c>
      <c r="G278" s="24" t="inlineStr">
        <is>
          <t>Invalid input is rejected with useful feedback and no request with bad data.</t>
        </is>
      </c>
      <c r="H278" s="24" t="inlineStr">
        <is>
          <t>Not executed: requires isolated test data, credentials, or controlled API failure.</t>
        </is>
      </c>
      <c r="I278" s="24" t="inlineStr">
        <is>
          <t>Not Run</t>
        </is>
      </c>
      <c r="J278" s="24" t="inlineStr">
        <is>
          <t>Medium</t>
        </is>
      </c>
      <c r="K278" s="24" t="inlineStr">
        <is>
          <t>Functional</t>
        </is>
      </c>
      <c r="L278" s="24" t="inlineStr">
        <is>
          <t>Codex QA</t>
        </is>
      </c>
      <c r="M278" s="24" t="inlineStr">
        <is>
          <t>2026-07-20</t>
        </is>
      </c>
      <c r="N278" s="24" t="inlineStr">
        <is>
          <t>Designed from the implemented UI and service contract.</t>
        </is>
      </c>
    </row>
    <row r="279" ht="46" customHeight="1">
      <c r="A279" s="23" t="inlineStr">
        <is>
          <t>SET-005</t>
        </is>
      </c>
      <c r="B279" s="23" t="inlineStr">
        <is>
          <t>Settings</t>
        </is>
      </c>
      <c r="C279" s="23" t="inlineStr">
        <is>
          <t>Back/cancel navigation</t>
        </is>
      </c>
      <c r="D279" s="23" t="inlineStr">
        <is>
          <t>Page is loaded</t>
        </is>
      </c>
      <c r="E279" s="23" t="inlineStr">
        <is>
          <t>Use Back or Cancel after entering changes</t>
        </is>
      </c>
      <c r="F279" s="23" t="inlineStr">
        <is>
          <t>See steps</t>
        </is>
      </c>
      <c r="G279" s="23" t="inlineStr">
        <is>
          <t>User returns to the expected page without unintended changes.</t>
        </is>
      </c>
      <c r="H279" s="23" t="inlineStr">
        <is>
          <t>Not executed: requires isolated test data, credentials, or controlled API failure.</t>
        </is>
      </c>
      <c r="I279" s="23" t="inlineStr">
        <is>
          <t>Not Run</t>
        </is>
      </c>
      <c r="J279" s="23" t="inlineStr">
        <is>
          <t>Medium</t>
        </is>
      </c>
      <c r="K279" s="23" t="inlineStr">
        <is>
          <t>Functional</t>
        </is>
      </c>
      <c r="L279" s="23" t="inlineStr">
        <is>
          <t>Codex QA</t>
        </is>
      </c>
      <c r="M279" s="23" t="inlineStr">
        <is>
          <t>2026-07-20</t>
        </is>
      </c>
      <c r="N279" s="23" t="inlineStr">
        <is>
          <t>Designed from the implemented UI and service contract.</t>
        </is>
      </c>
    </row>
    <row r="280" ht="46" customHeight="1">
      <c r="A280" s="24" t="inlineStr">
        <is>
          <t>SET-006</t>
        </is>
      </c>
      <c r="B280" s="24" t="inlineStr">
        <is>
          <t>Settings</t>
        </is>
      </c>
      <c r="C280" s="24" t="inlineStr">
        <is>
          <t>API failure</t>
        </is>
      </c>
      <c r="D280" s="24" t="inlineStr">
        <is>
          <t>Network mocking or a test API is available</t>
        </is>
      </c>
      <c r="E280" s="24" t="inlineStr">
        <is>
          <t>Simulate an API 4xx/5xx response</t>
        </is>
      </c>
      <c r="F280" s="24" t="inlineStr">
        <is>
          <t>See steps</t>
        </is>
      </c>
      <c r="G280" s="24" t="inlineStr">
        <is>
          <t>A readable error is shown; the UI remains usable.</t>
        </is>
      </c>
      <c r="H280" s="24" t="inlineStr">
        <is>
          <t>Not executed: requires isolated test data, credentials, or controlled API failure.</t>
        </is>
      </c>
      <c r="I280" s="24" t="inlineStr">
        <is>
          <t>Not Run</t>
        </is>
      </c>
      <c r="J280" s="24" t="inlineStr">
        <is>
          <t>Medium</t>
        </is>
      </c>
      <c r="K280" s="24" t="inlineStr">
        <is>
          <t>Functional</t>
        </is>
      </c>
      <c r="L280" s="24" t="inlineStr">
        <is>
          <t>Codex QA</t>
        </is>
      </c>
      <c r="M280" s="24" t="inlineStr">
        <is>
          <t>2026-07-20</t>
        </is>
      </c>
      <c r="N280" s="24" t="inlineStr">
        <is>
          <t>Designed from the implemented UI and service contract.</t>
        </is>
      </c>
    </row>
    <row r="281" ht="46" customHeight="1">
      <c r="A281" s="23" t="inlineStr">
        <is>
          <t>SET-007</t>
        </is>
      </c>
      <c r="B281" s="23" t="inlineStr">
        <is>
          <t>Settings</t>
        </is>
      </c>
      <c r="C281" s="23" t="inlineStr">
        <is>
          <t>Authorization</t>
        </is>
      </c>
      <c r="D281" s="23" t="inlineStr">
        <is>
          <t>No authenticated session</t>
        </is>
      </c>
      <c r="E281" s="23" t="inlineStr">
        <is>
          <t>Open the page in a fresh browser session without a token</t>
        </is>
      </c>
      <c r="F281" s="23" t="inlineStr">
        <is>
          <t>See steps</t>
        </is>
      </c>
      <c r="G281" s="23" t="inlineStr">
        <is>
          <t>User is redirected to login and protected data is not exposed.</t>
        </is>
      </c>
      <c r="H281" s="23" t="inlineStr">
        <is>
          <t>Direct access is allowed without a client-side guard; protected route is rendered.</t>
        </is>
      </c>
      <c r="I281" s="23" t="inlineStr">
        <is>
          <t>Failed</t>
        </is>
      </c>
      <c r="J281" s="23" t="inlineStr">
        <is>
          <t>High</t>
        </is>
      </c>
      <c r="K281" s="23" t="inlineStr">
        <is>
          <t>Functional</t>
        </is>
      </c>
      <c r="L281" s="23" t="inlineStr">
        <is>
          <t>Codex QA</t>
        </is>
      </c>
      <c r="M281" s="23" t="inlineStr">
        <is>
          <t>2026-07-20</t>
        </is>
      </c>
      <c r="N281" s="23" t="inlineStr">
        <is>
          <t>Logged in Bug Report as QA-SEC-001.</t>
        </is>
      </c>
    </row>
    <row r="282" ht="46" customHeight="1">
      <c r="A282" s="24" t="inlineStr">
        <is>
          <t>SET-008</t>
        </is>
      </c>
      <c r="B282" s="24" t="inlineStr">
        <is>
          <t>Settings</t>
        </is>
      </c>
      <c r="C282" s="24" t="inlineStr">
        <is>
          <t>Responsive/accessibility</t>
        </is>
      </c>
      <c r="D282" s="24" t="inlineStr">
        <is>
          <t>Page is loaded</t>
        </is>
      </c>
      <c r="E282" s="24" t="inlineStr">
        <is>
          <t>Check keyboard navigation and desktop/tablet/mobile widths</t>
        </is>
      </c>
      <c r="F282" s="24" t="inlineStr">
        <is>
          <t>See steps</t>
        </is>
      </c>
      <c r="G282" s="24" t="inlineStr">
        <is>
          <t>Labels, focus order, contrast and layout remain usable.</t>
        </is>
      </c>
      <c r="H282" s="24" t="inlineStr">
        <is>
          <t>Not executed: requires isolated test data, credentials, or controlled API failure.</t>
        </is>
      </c>
      <c r="I282" s="24" t="inlineStr">
        <is>
          <t>Not Run</t>
        </is>
      </c>
      <c r="J282" s="24" t="inlineStr">
        <is>
          <t>Medium</t>
        </is>
      </c>
      <c r="K282" s="24" t="inlineStr">
        <is>
          <t>Functional</t>
        </is>
      </c>
      <c r="L282" s="24" t="inlineStr">
        <is>
          <t>Codex QA</t>
        </is>
      </c>
      <c r="M282" s="24" t="inlineStr">
        <is>
          <t>2026-07-20</t>
        </is>
      </c>
      <c r="N282" s="24" t="inlineStr">
        <is>
          <t>Designed from the implemented UI and service contract.</t>
        </is>
      </c>
    </row>
    <row r="283" ht="46" customHeight="1">
      <c r="A283" s="23" t="inlineStr">
        <is>
          <t>PRO-001</t>
        </is>
      </c>
      <c r="B283" s="23" t="inlineStr">
        <is>
          <t>Admin Profile</t>
        </is>
      </c>
      <c r="C283" s="23" t="inlineStr">
        <is>
          <t>Page load</t>
        </is>
      </c>
      <c r="D283" s="23" t="inlineStr">
        <is>
          <t>Development server is running</t>
        </is>
      </c>
      <c r="E283" s="23" t="inlineStr">
        <is>
          <t>Open Profile</t>
        </is>
      </c>
      <c r="F283" s="23" t="inlineStr">
        <is>
          <t>See steps</t>
        </is>
      </c>
      <c r="G283" s="23" t="inlineStr">
        <is>
          <t>The page renders with its heading, sidebar and primary controls.</t>
        </is>
      </c>
      <c r="H283" s="23" t="inlineStr">
        <is>
          <t>Route and component are available through the local development server.</t>
        </is>
      </c>
      <c r="I283" s="23" t="inlineStr">
        <is>
          <t>Passed</t>
        </is>
      </c>
      <c r="J283" s="23" t="inlineStr">
        <is>
          <t>Medium</t>
        </is>
      </c>
      <c r="K283" s="23" t="inlineStr">
        <is>
          <t>Functional</t>
        </is>
      </c>
      <c r="L283" s="23" t="inlineStr">
        <is>
          <t>Codex QA</t>
        </is>
      </c>
      <c r="M283" s="23" t="inlineStr">
        <is>
          <t>2026-07-20</t>
        </is>
      </c>
      <c r="N283" s="23" t="inlineStr">
        <is>
          <t>Smoke-tested on localhost:4200; API-backed values depend on local API data.</t>
        </is>
      </c>
    </row>
    <row r="284" ht="46" customHeight="1">
      <c r="A284" s="24" t="inlineStr">
        <is>
          <t>PRO-002</t>
        </is>
      </c>
      <c r="B284" s="24" t="inlineStr">
        <is>
          <t>Admin Profile</t>
        </is>
      </c>
      <c r="C284" s="24" t="inlineStr">
        <is>
          <t>Required-field validation</t>
        </is>
      </c>
      <c r="D284" s="24" t="inlineStr">
        <is>
          <t>Page contains a form</t>
        </is>
      </c>
      <c r="E284" s="24" t="inlineStr">
        <is>
          <t>Submit the form with all mandatory fields blank</t>
        </is>
      </c>
      <c r="F284" s="24" t="inlineStr">
        <is>
          <t>See steps</t>
        </is>
      </c>
      <c r="G284" s="24" t="inlineStr">
        <is>
          <t>Submission is blocked and each required field is identified.</t>
        </is>
      </c>
      <c r="H284" s="24" t="inlineStr">
        <is>
          <t>Not executed: requires isolated test data, credentials, or controlled API failure.</t>
        </is>
      </c>
      <c r="I284" s="24" t="inlineStr">
        <is>
          <t>Not Run</t>
        </is>
      </c>
      <c r="J284" s="24" t="inlineStr">
        <is>
          <t>Medium</t>
        </is>
      </c>
      <c r="K284" s="24" t="inlineStr">
        <is>
          <t>Functional</t>
        </is>
      </c>
      <c r="L284" s="24" t="inlineStr">
        <is>
          <t>Codex QA</t>
        </is>
      </c>
      <c r="M284" s="24" t="inlineStr">
        <is>
          <t>2026-07-20</t>
        </is>
      </c>
      <c r="N284" s="24" t="inlineStr">
        <is>
          <t>Designed from the implemented UI and service contract.</t>
        </is>
      </c>
    </row>
    <row r="285" ht="46" customHeight="1">
      <c r="A285" s="23" t="inlineStr">
        <is>
          <t>PRO-003</t>
        </is>
      </c>
      <c r="B285" s="23" t="inlineStr">
        <is>
          <t>Admin Profile</t>
        </is>
      </c>
      <c r="C285" s="23" t="inlineStr">
        <is>
          <t>Valid submission</t>
        </is>
      </c>
      <c r="D285" s="23" t="inlineStr">
        <is>
          <t>Dedicated non-production test data is available</t>
        </is>
      </c>
      <c r="E285" s="23" t="inlineStr">
        <is>
          <t>Enter valid values and submit</t>
        </is>
      </c>
      <c r="F285" s="23" t="inlineStr">
        <is>
          <t>See steps</t>
        </is>
      </c>
      <c r="G285" s="23" t="inlineStr">
        <is>
          <t>A success message appears and data persists once only.</t>
        </is>
      </c>
      <c r="H285" s="23" t="inlineStr">
        <is>
          <t>Not executed: requires isolated test data, credentials, or controlled API failure.</t>
        </is>
      </c>
      <c r="I285" s="23" t="inlineStr">
        <is>
          <t>Not Run</t>
        </is>
      </c>
      <c r="J285" s="23" t="inlineStr">
        <is>
          <t>High</t>
        </is>
      </c>
      <c r="K285" s="23" t="inlineStr">
        <is>
          <t>Functional</t>
        </is>
      </c>
      <c r="L285" s="23" t="inlineStr">
        <is>
          <t>Codex QA</t>
        </is>
      </c>
      <c r="M285" s="23" t="inlineStr">
        <is>
          <t>2026-07-20</t>
        </is>
      </c>
      <c r="N285" s="23" t="inlineStr">
        <is>
          <t>Designed from the implemented UI and service contract.</t>
        </is>
      </c>
    </row>
    <row r="286" ht="46" customHeight="1">
      <c r="A286" s="24" t="inlineStr">
        <is>
          <t>PRO-004</t>
        </is>
      </c>
      <c r="B286" s="24" t="inlineStr">
        <is>
          <t>Admin Profile</t>
        </is>
      </c>
      <c r="C286" s="24" t="inlineStr">
        <is>
          <t>Invalid input</t>
        </is>
      </c>
      <c r="D286" s="24" t="inlineStr">
        <is>
          <t>Page is loaded</t>
        </is>
      </c>
      <c r="E286" s="24" t="inlineStr">
        <is>
          <t>Enter invalid format, boundary value, and long text</t>
        </is>
      </c>
      <c r="F286" s="24" t="inlineStr">
        <is>
          <t>See steps</t>
        </is>
      </c>
      <c r="G286" s="24" t="inlineStr">
        <is>
          <t>Invalid input is rejected with useful feedback and no request with bad data.</t>
        </is>
      </c>
      <c r="H286" s="24" t="inlineStr">
        <is>
          <t>Not executed: requires isolated test data, credentials, or controlled API failure.</t>
        </is>
      </c>
      <c r="I286" s="24" t="inlineStr">
        <is>
          <t>Not Run</t>
        </is>
      </c>
      <c r="J286" s="24" t="inlineStr">
        <is>
          <t>Medium</t>
        </is>
      </c>
      <c r="K286" s="24" t="inlineStr">
        <is>
          <t>Functional</t>
        </is>
      </c>
      <c r="L286" s="24" t="inlineStr">
        <is>
          <t>Codex QA</t>
        </is>
      </c>
      <c r="M286" s="24" t="inlineStr">
        <is>
          <t>2026-07-20</t>
        </is>
      </c>
      <c r="N286" s="24" t="inlineStr">
        <is>
          <t>Designed from the implemented UI and service contract.</t>
        </is>
      </c>
    </row>
    <row r="287" ht="46" customHeight="1">
      <c r="A287" s="23" t="inlineStr">
        <is>
          <t>PRO-005</t>
        </is>
      </c>
      <c r="B287" s="23" t="inlineStr">
        <is>
          <t>Admin Profile</t>
        </is>
      </c>
      <c r="C287" s="23" t="inlineStr">
        <is>
          <t>Back/cancel navigation</t>
        </is>
      </c>
      <c r="D287" s="23" t="inlineStr">
        <is>
          <t>Page is loaded</t>
        </is>
      </c>
      <c r="E287" s="23" t="inlineStr">
        <is>
          <t>Use Back or Cancel after entering changes</t>
        </is>
      </c>
      <c r="F287" s="23" t="inlineStr">
        <is>
          <t>See steps</t>
        </is>
      </c>
      <c r="G287" s="23" t="inlineStr">
        <is>
          <t>User returns to the expected page without unintended changes.</t>
        </is>
      </c>
      <c r="H287" s="23" t="inlineStr">
        <is>
          <t>Not executed: requires isolated test data, credentials, or controlled API failure.</t>
        </is>
      </c>
      <c r="I287" s="23" t="inlineStr">
        <is>
          <t>Not Run</t>
        </is>
      </c>
      <c r="J287" s="23" t="inlineStr">
        <is>
          <t>Medium</t>
        </is>
      </c>
      <c r="K287" s="23" t="inlineStr">
        <is>
          <t>Functional</t>
        </is>
      </c>
      <c r="L287" s="23" t="inlineStr">
        <is>
          <t>Codex QA</t>
        </is>
      </c>
      <c r="M287" s="23" t="inlineStr">
        <is>
          <t>2026-07-20</t>
        </is>
      </c>
      <c r="N287" s="23" t="inlineStr">
        <is>
          <t>Designed from the implemented UI and service contract.</t>
        </is>
      </c>
    </row>
    <row r="288" ht="46" customHeight="1">
      <c r="A288" s="24" t="inlineStr">
        <is>
          <t>PRO-006</t>
        </is>
      </c>
      <c r="B288" s="24" t="inlineStr">
        <is>
          <t>Admin Profile</t>
        </is>
      </c>
      <c r="C288" s="24" t="inlineStr">
        <is>
          <t>API failure</t>
        </is>
      </c>
      <c r="D288" s="24" t="inlineStr">
        <is>
          <t>Network mocking or a test API is available</t>
        </is>
      </c>
      <c r="E288" s="24" t="inlineStr">
        <is>
          <t>Simulate an API 4xx/5xx response</t>
        </is>
      </c>
      <c r="F288" s="24" t="inlineStr">
        <is>
          <t>See steps</t>
        </is>
      </c>
      <c r="G288" s="24" t="inlineStr">
        <is>
          <t>A readable error is shown; the UI remains usable.</t>
        </is>
      </c>
      <c r="H288" s="24" t="inlineStr">
        <is>
          <t>Not executed: requires isolated test data, credentials, or controlled API failure.</t>
        </is>
      </c>
      <c r="I288" s="24" t="inlineStr">
        <is>
          <t>Not Run</t>
        </is>
      </c>
      <c r="J288" s="24" t="inlineStr">
        <is>
          <t>Medium</t>
        </is>
      </c>
      <c r="K288" s="24" t="inlineStr">
        <is>
          <t>Functional</t>
        </is>
      </c>
      <c r="L288" s="24" t="inlineStr">
        <is>
          <t>Codex QA</t>
        </is>
      </c>
      <c r="M288" s="24" t="inlineStr">
        <is>
          <t>2026-07-20</t>
        </is>
      </c>
      <c r="N288" s="24" t="inlineStr">
        <is>
          <t>Designed from the implemented UI and service contract.</t>
        </is>
      </c>
    </row>
    <row r="289" ht="46" customHeight="1">
      <c r="A289" s="23" t="inlineStr">
        <is>
          <t>PRO-007</t>
        </is>
      </c>
      <c r="B289" s="23" t="inlineStr">
        <is>
          <t>Admin Profile</t>
        </is>
      </c>
      <c r="C289" s="23" t="inlineStr">
        <is>
          <t>Authorization</t>
        </is>
      </c>
      <c r="D289" s="23" t="inlineStr">
        <is>
          <t>No authenticated session</t>
        </is>
      </c>
      <c r="E289" s="23" t="inlineStr">
        <is>
          <t>Open the page in a fresh browser session without a token</t>
        </is>
      </c>
      <c r="F289" s="23" t="inlineStr">
        <is>
          <t>See steps</t>
        </is>
      </c>
      <c r="G289" s="23" t="inlineStr">
        <is>
          <t>User is redirected to login and protected data is not exposed.</t>
        </is>
      </c>
      <c r="H289" s="23" t="inlineStr">
        <is>
          <t>Direct access is allowed without a client-side guard; protected route is rendered.</t>
        </is>
      </c>
      <c r="I289" s="23" t="inlineStr">
        <is>
          <t>Failed</t>
        </is>
      </c>
      <c r="J289" s="23" t="inlineStr">
        <is>
          <t>High</t>
        </is>
      </c>
      <c r="K289" s="23" t="inlineStr">
        <is>
          <t>Functional</t>
        </is>
      </c>
      <c r="L289" s="23" t="inlineStr">
        <is>
          <t>Codex QA</t>
        </is>
      </c>
      <c r="M289" s="23" t="inlineStr">
        <is>
          <t>2026-07-20</t>
        </is>
      </c>
      <c r="N289" s="23" t="inlineStr">
        <is>
          <t>Logged in Bug Report as QA-SEC-001.</t>
        </is>
      </c>
    </row>
    <row r="290" ht="46" customHeight="1">
      <c r="A290" s="24" t="inlineStr">
        <is>
          <t>PRO-008</t>
        </is>
      </c>
      <c r="B290" s="24" t="inlineStr">
        <is>
          <t>Admin Profile</t>
        </is>
      </c>
      <c r="C290" s="24" t="inlineStr">
        <is>
          <t>Responsive/accessibility</t>
        </is>
      </c>
      <c r="D290" s="24" t="inlineStr">
        <is>
          <t>Page is loaded</t>
        </is>
      </c>
      <c r="E290" s="24" t="inlineStr">
        <is>
          <t>Check keyboard navigation and desktop/tablet/mobile widths</t>
        </is>
      </c>
      <c r="F290" s="24" t="inlineStr">
        <is>
          <t>See steps</t>
        </is>
      </c>
      <c r="G290" s="24" t="inlineStr">
        <is>
          <t>Labels, focus order, contrast and layout remain usable.</t>
        </is>
      </c>
      <c r="H290" s="24" t="inlineStr">
        <is>
          <t>Not executed: requires isolated test data, credentials, or controlled API failure.</t>
        </is>
      </c>
      <c r="I290" s="24" t="inlineStr">
        <is>
          <t>Not Run</t>
        </is>
      </c>
      <c r="J290" s="24" t="inlineStr">
        <is>
          <t>Medium</t>
        </is>
      </c>
      <c r="K290" s="24" t="inlineStr">
        <is>
          <t>Functional</t>
        </is>
      </c>
      <c r="L290" s="24" t="inlineStr">
        <is>
          <t>Codex QA</t>
        </is>
      </c>
      <c r="M290" s="24" t="inlineStr">
        <is>
          <t>2026-07-20</t>
        </is>
      </c>
      <c r="N290" s="24" t="inlineStr">
        <is>
          <t>Designed from the implemented UI and service contract.</t>
        </is>
      </c>
    </row>
    <row r="291" ht="46" customHeight="1">
      <c r="A291" s="23" t="inlineStr">
        <is>
          <t>LOG-001</t>
        </is>
      </c>
      <c r="B291" s="23" t="inlineStr">
        <is>
          <t>Login</t>
        </is>
      </c>
      <c r="C291" s="23" t="inlineStr">
        <is>
          <t>Page load</t>
        </is>
      </c>
      <c r="D291" s="23" t="inlineStr">
        <is>
          <t>Development server is running</t>
        </is>
      </c>
      <c r="E291" s="23" t="inlineStr">
        <is>
          <t>Open Login</t>
        </is>
      </c>
      <c r="F291" s="23" t="inlineStr">
        <is>
          <t>See steps</t>
        </is>
      </c>
      <c r="G291" s="23" t="inlineStr">
        <is>
          <t>The page renders with its heading, sidebar and primary controls.</t>
        </is>
      </c>
      <c r="H291" s="23" t="inlineStr">
        <is>
          <t>Route and component are available through the local development server.</t>
        </is>
      </c>
      <c r="I291" s="23" t="inlineStr">
        <is>
          <t>Passed</t>
        </is>
      </c>
      <c r="J291" s="23" t="inlineStr">
        <is>
          <t>Medium</t>
        </is>
      </c>
      <c r="K291" s="23" t="inlineStr">
        <is>
          <t>Functional</t>
        </is>
      </c>
      <c r="L291" s="23" t="inlineStr">
        <is>
          <t>Codex QA</t>
        </is>
      </c>
      <c r="M291" s="23" t="inlineStr">
        <is>
          <t>2026-07-20</t>
        </is>
      </c>
      <c r="N291" s="23" t="inlineStr">
        <is>
          <t>Smoke-tested on localhost:4200; API-backed values depend on local API data.</t>
        </is>
      </c>
    </row>
    <row r="292" ht="46" customHeight="1">
      <c r="A292" s="24" t="inlineStr">
        <is>
          <t>LOG-002</t>
        </is>
      </c>
      <c r="B292" s="24" t="inlineStr">
        <is>
          <t>Login</t>
        </is>
      </c>
      <c r="C292" s="24" t="inlineStr">
        <is>
          <t>Required-field validation</t>
        </is>
      </c>
      <c r="D292" s="24" t="inlineStr">
        <is>
          <t>Page contains a form</t>
        </is>
      </c>
      <c r="E292" s="24" t="inlineStr">
        <is>
          <t>Submit the form with all mandatory fields blank</t>
        </is>
      </c>
      <c r="F292" s="24" t="inlineStr">
        <is>
          <t>See steps</t>
        </is>
      </c>
      <c r="G292" s="24" t="inlineStr">
        <is>
          <t>Submission is blocked and each required field is identified.</t>
        </is>
      </c>
      <c r="H292" s="24" t="inlineStr">
        <is>
          <t>Not executed: requires isolated test data, credentials, or controlled API failure.</t>
        </is>
      </c>
      <c r="I292" s="24" t="inlineStr">
        <is>
          <t>Not Run</t>
        </is>
      </c>
      <c r="J292" s="24" t="inlineStr">
        <is>
          <t>Medium</t>
        </is>
      </c>
      <c r="K292" s="24" t="inlineStr">
        <is>
          <t>Functional</t>
        </is>
      </c>
      <c r="L292" s="24" t="inlineStr">
        <is>
          <t>Codex QA</t>
        </is>
      </c>
      <c r="M292" s="24" t="inlineStr">
        <is>
          <t>2026-07-20</t>
        </is>
      </c>
      <c r="N292" s="24" t="inlineStr">
        <is>
          <t>Designed from the implemented UI and service contract.</t>
        </is>
      </c>
    </row>
    <row r="293" ht="46" customHeight="1">
      <c r="A293" s="23" t="inlineStr">
        <is>
          <t>LOG-003</t>
        </is>
      </c>
      <c r="B293" s="23" t="inlineStr">
        <is>
          <t>Login</t>
        </is>
      </c>
      <c r="C293" s="23" t="inlineStr">
        <is>
          <t>Valid submission</t>
        </is>
      </c>
      <c r="D293" s="23" t="inlineStr">
        <is>
          <t>Dedicated non-production test data is available</t>
        </is>
      </c>
      <c r="E293" s="23" t="inlineStr">
        <is>
          <t>Enter valid values and submit</t>
        </is>
      </c>
      <c r="F293" s="23" t="inlineStr">
        <is>
          <t>See steps</t>
        </is>
      </c>
      <c r="G293" s="23" t="inlineStr">
        <is>
          <t>A success message appears and data persists once only.</t>
        </is>
      </c>
      <c r="H293" s="23" t="inlineStr">
        <is>
          <t>Not executed: requires isolated test data, credentials, or controlled API failure.</t>
        </is>
      </c>
      <c r="I293" s="23" t="inlineStr">
        <is>
          <t>Not Run</t>
        </is>
      </c>
      <c r="J293" s="23" t="inlineStr">
        <is>
          <t>High</t>
        </is>
      </c>
      <c r="K293" s="23" t="inlineStr">
        <is>
          <t>Functional</t>
        </is>
      </c>
      <c r="L293" s="23" t="inlineStr">
        <is>
          <t>Codex QA</t>
        </is>
      </c>
      <c r="M293" s="23" t="inlineStr">
        <is>
          <t>2026-07-20</t>
        </is>
      </c>
      <c r="N293" s="23" t="inlineStr">
        <is>
          <t>Designed from the implemented UI and service contract.</t>
        </is>
      </c>
    </row>
    <row r="294" ht="46" customHeight="1">
      <c r="A294" s="24" t="inlineStr">
        <is>
          <t>LOG-004</t>
        </is>
      </c>
      <c r="B294" s="24" t="inlineStr">
        <is>
          <t>Login</t>
        </is>
      </c>
      <c r="C294" s="24" t="inlineStr">
        <is>
          <t>Invalid input</t>
        </is>
      </c>
      <c r="D294" s="24" t="inlineStr">
        <is>
          <t>Page is loaded</t>
        </is>
      </c>
      <c r="E294" s="24" t="inlineStr">
        <is>
          <t>Enter invalid format, boundary value, and long text</t>
        </is>
      </c>
      <c r="F294" s="24" t="inlineStr">
        <is>
          <t>See steps</t>
        </is>
      </c>
      <c r="G294" s="24" t="inlineStr">
        <is>
          <t>Invalid input is rejected with useful feedback and no request with bad data.</t>
        </is>
      </c>
      <c r="H294" s="24" t="inlineStr">
        <is>
          <t>Not executed: requires isolated test data, credentials, or controlled API failure.</t>
        </is>
      </c>
      <c r="I294" s="24" t="inlineStr">
        <is>
          <t>Not Run</t>
        </is>
      </c>
      <c r="J294" s="24" t="inlineStr">
        <is>
          <t>Medium</t>
        </is>
      </c>
      <c r="K294" s="24" t="inlineStr">
        <is>
          <t>Functional</t>
        </is>
      </c>
      <c r="L294" s="24" t="inlineStr">
        <is>
          <t>Codex QA</t>
        </is>
      </c>
      <c r="M294" s="24" t="inlineStr">
        <is>
          <t>2026-07-20</t>
        </is>
      </c>
      <c r="N294" s="24" t="inlineStr">
        <is>
          <t>Designed from the implemented UI and service contract.</t>
        </is>
      </c>
    </row>
    <row r="295" ht="46" customHeight="1">
      <c r="A295" s="23" t="inlineStr">
        <is>
          <t>LOG-005</t>
        </is>
      </c>
      <c r="B295" s="23" t="inlineStr">
        <is>
          <t>Login</t>
        </is>
      </c>
      <c r="C295" s="23" t="inlineStr">
        <is>
          <t>Back/cancel navigation</t>
        </is>
      </c>
      <c r="D295" s="23" t="inlineStr">
        <is>
          <t>Page is loaded</t>
        </is>
      </c>
      <c r="E295" s="23" t="inlineStr">
        <is>
          <t>Use Back or Cancel after entering changes</t>
        </is>
      </c>
      <c r="F295" s="23" t="inlineStr">
        <is>
          <t>See steps</t>
        </is>
      </c>
      <c r="G295" s="23" t="inlineStr">
        <is>
          <t>User returns to the expected page without unintended changes.</t>
        </is>
      </c>
      <c r="H295" s="23" t="inlineStr">
        <is>
          <t>Not executed: requires isolated test data, credentials, or controlled API failure.</t>
        </is>
      </c>
      <c r="I295" s="23" t="inlineStr">
        <is>
          <t>Not Run</t>
        </is>
      </c>
      <c r="J295" s="23" t="inlineStr">
        <is>
          <t>Medium</t>
        </is>
      </c>
      <c r="K295" s="23" t="inlineStr">
        <is>
          <t>Functional</t>
        </is>
      </c>
      <c r="L295" s="23" t="inlineStr">
        <is>
          <t>Codex QA</t>
        </is>
      </c>
      <c r="M295" s="23" t="inlineStr">
        <is>
          <t>2026-07-20</t>
        </is>
      </c>
      <c r="N295" s="23" t="inlineStr">
        <is>
          <t>Designed from the implemented UI and service contract.</t>
        </is>
      </c>
    </row>
    <row r="296" ht="46" customHeight="1">
      <c r="A296" s="24" t="inlineStr">
        <is>
          <t>LOG-006</t>
        </is>
      </c>
      <c r="B296" s="24" t="inlineStr">
        <is>
          <t>Login</t>
        </is>
      </c>
      <c r="C296" s="24" t="inlineStr">
        <is>
          <t>API failure</t>
        </is>
      </c>
      <c r="D296" s="24" t="inlineStr">
        <is>
          <t>Network mocking or a test API is available</t>
        </is>
      </c>
      <c r="E296" s="24" t="inlineStr">
        <is>
          <t>Simulate an API 4xx/5xx response</t>
        </is>
      </c>
      <c r="F296" s="24" t="inlineStr">
        <is>
          <t>See steps</t>
        </is>
      </c>
      <c r="G296" s="24" t="inlineStr">
        <is>
          <t>A readable error is shown; the UI remains usable.</t>
        </is>
      </c>
      <c r="H296" s="24" t="inlineStr">
        <is>
          <t>Not executed: requires isolated test data, credentials, or controlled API failure.</t>
        </is>
      </c>
      <c r="I296" s="24" t="inlineStr">
        <is>
          <t>Not Run</t>
        </is>
      </c>
      <c r="J296" s="24" t="inlineStr">
        <is>
          <t>Medium</t>
        </is>
      </c>
      <c r="K296" s="24" t="inlineStr">
        <is>
          <t>Functional</t>
        </is>
      </c>
      <c r="L296" s="24" t="inlineStr">
        <is>
          <t>Codex QA</t>
        </is>
      </c>
      <c r="M296" s="24" t="inlineStr">
        <is>
          <t>2026-07-20</t>
        </is>
      </c>
      <c r="N296" s="24" t="inlineStr">
        <is>
          <t>Designed from the implemented UI and service contract.</t>
        </is>
      </c>
    </row>
    <row r="297" ht="46" customHeight="1">
      <c r="A297" s="23" t="inlineStr">
        <is>
          <t>LOG-007</t>
        </is>
      </c>
      <c r="B297" s="23" t="inlineStr">
        <is>
          <t>Login</t>
        </is>
      </c>
      <c r="C297" s="23" t="inlineStr">
        <is>
          <t>Authorization</t>
        </is>
      </c>
      <c r="D297" s="23" t="inlineStr">
        <is>
          <t>No authenticated session</t>
        </is>
      </c>
      <c r="E297" s="23" t="inlineStr">
        <is>
          <t>Open the page in a fresh browser session without a token</t>
        </is>
      </c>
      <c r="F297" s="23" t="inlineStr">
        <is>
          <t>See steps</t>
        </is>
      </c>
      <c r="G297" s="23" t="inlineStr">
        <is>
          <t>User is redirected to login and protected data is not exposed.</t>
        </is>
      </c>
      <c r="H297" s="23" t="inlineStr">
        <is>
          <t>Direct access is allowed without a client-side guard; protected route is rendered.</t>
        </is>
      </c>
      <c r="I297" s="23" t="inlineStr">
        <is>
          <t>Failed</t>
        </is>
      </c>
      <c r="J297" s="23" t="inlineStr">
        <is>
          <t>High</t>
        </is>
      </c>
      <c r="K297" s="23" t="inlineStr">
        <is>
          <t>Functional</t>
        </is>
      </c>
      <c r="L297" s="23" t="inlineStr">
        <is>
          <t>Codex QA</t>
        </is>
      </c>
      <c r="M297" s="23" t="inlineStr">
        <is>
          <t>2026-07-20</t>
        </is>
      </c>
      <c r="N297" s="23" t="inlineStr">
        <is>
          <t>Logged in Bug Report as QA-SEC-001.</t>
        </is>
      </c>
    </row>
    <row r="298" ht="46" customHeight="1">
      <c r="A298" s="24" t="inlineStr">
        <is>
          <t>LOG-008</t>
        </is>
      </c>
      <c r="B298" s="24" t="inlineStr">
        <is>
          <t>Login</t>
        </is>
      </c>
      <c r="C298" s="24" t="inlineStr">
        <is>
          <t>Responsive/accessibility</t>
        </is>
      </c>
      <c r="D298" s="24" t="inlineStr">
        <is>
          <t>Page is loaded</t>
        </is>
      </c>
      <c r="E298" s="24" t="inlineStr">
        <is>
          <t>Check keyboard navigation and desktop/tablet/mobile widths</t>
        </is>
      </c>
      <c r="F298" s="24" t="inlineStr">
        <is>
          <t>See steps</t>
        </is>
      </c>
      <c r="G298" s="24" t="inlineStr">
        <is>
          <t>Labels, focus order, contrast and layout remain usable.</t>
        </is>
      </c>
      <c r="H298" s="24" t="inlineStr">
        <is>
          <t>Not executed: requires isolated test data, credentials, or controlled API failure.</t>
        </is>
      </c>
      <c r="I298" s="24" t="inlineStr">
        <is>
          <t>Not Run</t>
        </is>
      </c>
      <c r="J298" s="24" t="inlineStr">
        <is>
          <t>Medium</t>
        </is>
      </c>
      <c r="K298" s="24" t="inlineStr">
        <is>
          <t>Functional</t>
        </is>
      </c>
      <c r="L298" s="24" t="inlineStr">
        <is>
          <t>Codex QA</t>
        </is>
      </c>
      <c r="M298" s="24" t="inlineStr">
        <is>
          <t>2026-07-20</t>
        </is>
      </c>
      <c r="N298" s="24" t="inlineStr">
        <is>
          <t>Designed from the implemented UI and service contract.</t>
        </is>
      </c>
    </row>
    <row r="299" ht="46" customHeight="1">
      <c r="A299" s="23" t="inlineStr">
        <is>
          <t>EVA-001</t>
        </is>
      </c>
      <c r="B299" s="23" t="inlineStr">
        <is>
          <t>Evaluate Student</t>
        </is>
      </c>
      <c r="C299" s="23" t="inlineStr">
        <is>
          <t>Page load</t>
        </is>
      </c>
      <c r="D299" s="23" t="inlineStr">
        <is>
          <t>Development server is running</t>
        </is>
      </c>
      <c r="E299" s="23" t="inlineStr">
        <is>
          <t>Open Evaluate Student</t>
        </is>
      </c>
      <c r="F299" s="23" t="inlineStr">
        <is>
          <t>See steps</t>
        </is>
      </c>
      <c r="G299" s="23" t="inlineStr">
        <is>
          <t>The page renders with its heading, sidebar and primary controls.</t>
        </is>
      </c>
      <c r="H299" s="23" t="inlineStr">
        <is>
          <t>Route and component are available through the local development server.</t>
        </is>
      </c>
      <c r="I299" s="23" t="inlineStr">
        <is>
          <t>Passed</t>
        </is>
      </c>
      <c r="J299" s="23" t="inlineStr">
        <is>
          <t>Medium</t>
        </is>
      </c>
      <c r="K299" s="23" t="inlineStr">
        <is>
          <t>Functional</t>
        </is>
      </c>
      <c r="L299" s="23" t="inlineStr">
        <is>
          <t>Codex QA</t>
        </is>
      </c>
      <c r="M299" s="23" t="inlineStr">
        <is>
          <t>2026-07-20</t>
        </is>
      </c>
      <c r="N299" s="23" t="inlineStr">
        <is>
          <t>Smoke-tested on localhost:4200; API-backed values depend on local API data.</t>
        </is>
      </c>
    </row>
    <row r="300" ht="46" customHeight="1">
      <c r="A300" s="24" t="inlineStr">
        <is>
          <t>EVA-002</t>
        </is>
      </c>
      <c r="B300" s="24" t="inlineStr">
        <is>
          <t>Evaluate Student</t>
        </is>
      </c>
      <c r="C300" s="24" t="inlineStr">
        <is>
          <t>Required-field validation</t>
        </is>
      </c>
      <c r="D300" s="24" t="inlineStr">
        <is>
          <t>Page contains a form</t>
        </is>
      </c>
      <c r="E300" s="24" t="inlineStr">
        <is>
          <t>Submit the form with all mandatory fields blank</t>
        </is>
      </c>
      <c r="F300" s="24" t="inlineStr">
        <is>
          <t>See steps</t>
        </is>
      </c>
      <c r="G300" s="24" t="inlineStr">
        <is>
          <t>Submission is blocked and each required field is identified.</t>
        </is>
      </c>
      <c r="H300" s="24" t="inlineStr">
        <is>
          <t>Not executed: requires isolated test data, credentials, or controlled API failure.</t>
        </is>
      </c>
      <c r="I300" s="24" t="inlineStr">
        <is>
          <t>Not Run</t>
        </is>
      </c>
      <c r="J300" s="24" t="inlineStr">
        <is>
          <t>Medium</t>
        </is>
      </c>
      <c r="K300" s="24" t="inlineStr">
        <is>
          <t>Functional</t>
        </is>
      </c>
      <c r="L300" s="24" t="inlineStr">
        <is>
          <t>Codex QA</t>
        </is>
      </c>
      <c r="M300" s="24" t="inlineStr">
        <is>
          <t>2026-07-20</t>
        </is>
      </c>
      <c r="N300" s="24" t="inlineStr">
        <is>
          <t>Designed from the implemented UI and service contract.</t>
        </is>
      </c>
    </row>
    <row r="301" ht="46" customHeight="1">
      <c r="A301" s="23" t="inlineStr">
        <is>
          <t>EVA-003</t>
        </is>
      </c>
      <c r="B301" s="23" t="inlineStr">
        <is>
          <t>Evaluate Student</t>
        </is>
      </c>
      <c r="C301" s="23" t="inlineStr">
        <is>
          <t>Valid submission</t>
        </is>
      </c>
      <c r="D301" s="23" t="inlineStr">
        <is>
          <t>Dedicated non-production test data is available</t>
        </is>
      </c>
      <c r="E301" s="23" t="inlineStr">
        <is>
          <t>Enter valid values and submit</t>
        </is>
      </c>
      <c r="F301" s="23" t="inlineStr">
        <is>
          <t>See steps</t>
        </is>
      </c>
      <c r="G301" s="23" t="inlineStr">
        <is>
          <t>A success message appears and data persists once only.</t>
        </is>
      </c>
      <c r="H301" s="23" t="inlineStr">
        <is>
          <t>Not executed: requires isolated test data, credentials, or controlled API failure.</t>
        </is>
      </c>
      <c r="I301" s="23" t="inlineStr">
        <is>
          <t>Not Run</t>
        </is>
      </c>
      <c r="J301" s="23" t="inlineStr">
        <is>
          <t>High</t>
        </is>
      </c>
      <c r="K301" s="23" t="inlineStr">
        <is>
          <t>Functional</t>
        </is>
      </c>
      <c r="L301" s="23" t="inlineStr">
        <is>
          <t>Codex QA</t>
        </is>
      </c>
      <c r="M301" s="23" t="inlineStr">
        <is>
          <t>2026-07-20</t>
        </is>
      </c>
      <c r="N301" s="23" t="inlineStr">
        <is>
          <t>Designed from the implemented UI and service contract.</t>
        </is>
      </c>
    </row>
    <row r="302" ht="46" customHeight="1">
      <c r="A302" s="24" t="inlineStr">
        <is>
          <t>EVA-004</t>
        </is>
      </c>
      <c r="B302" s="24" t="inlineStr">
        <is>
          <t>Evaluate Student</t>
        </is>
      </c>
      <c r="C302" s="24" t="inlineStr">
        <is>
          <t>Invalid input</t>
        </is>
      </c>
      <c r="D302" s="24" t="inlineStr">
        <is>
          <t>Page is loaded</t>
        </is>
      </c>
      <c r="E302" s="24" t="inlineStr">
        <is>
          <t>Enter invalid format, boundary value, and long text</t>
        </is>
      </c>
      <c r="F302" s="24" t="inlineStr">
        <is>
          <t>See steps</t>
        </is>
      </c>
      <c r="G302" s="24" t="inlineStr">
        <is>
          <t>Invalid input is rejected with useful feedback and no request with bad data.</t>
        </is>
      </c>
      <c r="H302" s="24" t="inlineStr">
        <is>
          <t>Not executed: requires isolated test data, credentials, or controlled API failure.</t>
        </is>
      </c>
      <c r="I302" s="24" t="inlineStr">
        <is>
          <t>Not Run</t>
        </is>
      </c>
      <c r="J302" s="24" t="inlineStr">
        <is>
          <t>Medium</t>
        </is>
      </c>
      <c r="K302" s="24" t="inlineStr">
        <is>
          <t>Functional</t>
        </is>
      </c>
      <c r="L302" s="24" t="inlineStr">
        <is>
          <t>Codex QA</t>
        </is>
      </c>
      <c r="M302" s="24" t="inlineStr">
        <is>
          <t>2026-07-20</t>
        </is>
      </c>
      <c r="N302" s="24" t="inlineStr">
        <is>
          <t>Designed from the implemented UI and service contract.</t>
        </is>
      </c>
    </row>
    <row r="303" ht="46" customHeight="1">
      <c r="A303" s="23" t="inlineStr">
        <is>
          <t>EVA-005</t>
        </is>
      </c>
      <c r="B303" s="23" t="inlineStr">
        <is>
          <t>Evaluate Student</t>
        </is>
      </c>
      <c r="C303" s="23" t="inlineStr">
        <is>
          <t>Back/cancel navigation</t>
        </is>
      </c>
      <c r="D303" s="23" t="inlineStr">
        <is>
          <t>Page is loaded</t>
        </is>
      </c>
      <c r="E303" s="23" t="inlineStr">
        <is>
          <t>Use Back or Cancel after entering changes</t>
        </is>
      </c>
      <c r="F303" s="23" t="inlineStr">
        <is>
          <t>See steps</t>
        </is>
      </c>
      <c r="G303" s="23" t="inlineStr">
        <is>
          <t>User returns to the expected page without unintended changes.</t>
        </is>
      </c>
      <c r="H303" s="23" t="inlineStr">
        <is>
          <t>Not executed: requires isolated test data, credentials, or controlled API failure.</t>
        </is>
      </c>
      <c r="I303" s="23" t="inlineStr">
        <is>
          <t>Not Run</t>
        </is>
      </c>
      <c r="J303" s="23" t="inlineStr">
        <is>
          <t>Medium</t>
        </is>
      </c>
      <c r="K303" s="23" t="inlineStr">
        <is>
          <t>Functional</t>
        </is>
      </c>
      <c r="L303" s="23" t="inlineStr">
        <is>
          <t>Codex QA</t>
        </is>
      </c>
      <c r="M303" s="23" t="inlineStr">
        <is>
          <t>2026-07-20</t>
        </is>
      </c>
      <c r="N303" s="23" t="inlineStr">
        <is>
          <t>Designed from the implemented UI and service contract.</t>
        </is>
      </c>
    </row>
    <row r="304" ht="46" customHeight="1">
      <c r="A304" s="24" t="inlineStr">
        <is>
          <t>EVA-006</t>
        </is>
      </c>
      <c r="B304" s="24" t="inlineStr">
        <is>
          <t>Evaluate Student</t>
        </is>
      </c>
      <c r="C304" s="24" t="inlineStr">
        <is>
          <t>API failure</t>
        </is>
      </c>
      <c r="D304" s="24" t="inlineStr">
        <is>
          <t>Network mocking or a test API is available</t>
        </is>
      </c>
      <c r="E304" s="24" t="inlineStr">
        <is>
          <t>Simulate an API 4xx/5xx response</t>
        </is>
      </c>
      <c r="F304" s="24" t="inlineStr">
        <is>
          <t>See steps</t>
        </is>
      </c>
      <c r="G304" s="24" t="inlineStr">
        <is>
          <t>A readable error is shown; the UI remains usable.</t>
        </is>
      </c>
      <c r="H304" s="24" t="inlineStr">
        <is>
          <t>Not executed: requires isolated test data, credentials, or controlled API failure.</t>
        </is>
      </c>
      <c r="I304" s="24" t="inlineStr">
        <is>
          <t>Not Run</t>
        </is>
      </c>
      <c r="J304" s="24" t="inlineStr">
        <is>
          <t>Medium</t>
        </is>
      </c>
      <c r="K304" s="24" t="inlineStr">
        <is>
          <t>Functional</t>
        </is>
      </c>
      <c r="L304" s="24" t="inlineStr">
        <is>
          <t>Codex QA</t>
        </is>
      </c>
      <c r="M304" s="24" t="inlineStr">
        <is>
          <t>2026-07-20</t>
        </is>
      </c>
      <c r="N304" s="24" t="inlineStr">
        <is>
          <t>Designed from the implemented UI and service contract.</t>
        </is>
      </c>
    </row>
    <row r="305" ht="46" customHeight="1">
      <c r="A305" s="23" t="inlineStr">
        <is>
          <t>EVA-007</t>
        </is>
      </c>
      <c r="B305" s="23" t="inlineStr">
        <is>
          <t>Evaluate Student</t>
        </is>
      </c>
      <c r="C305" s="23" t="inlineStr">
        <is>
          <t>Authorization</t>
        </is>
      </c>
      <c r="D305" s="23" t="inlineStr">
        <is>
          <t>No authenticated session</t>
        </is>
      </c>
      <c r="E305" s="23" t="inlineStr">
        <is>
          <t>Open the page in a fresh browser session without a token</t>
        </is>
      </c>
      <c r="F305" s="23" t="inlineStr">
        <is>
          <t>See steps</t>
        </is>
      </c>
      <c r="G305" s="23" t="inlineStr">
        <is>
          <t>User is redirected to login and protected data is not exposed.</t>
        </is>
      </c>
      <c r="H305" s="23" t="inlineStr">
        <is>
          <t>Direct access is allowed without a client-side guard; protected route is rendered.</t>
        </is>
      </c>
      <c r="I305" s="23" t="inlineStr">
        <is>
          <t>Failed</t>
        </is>
      </c>
      <c r="J305" s="23" t="inlineStr">
        <is>
          <t>High</t>
        </is>
      </c>
      <c r="K305" s="23" t="inlineStr">
        <is>
          <t>Functional</t>
        </is>
      </c>
      <c r="L305" s="23" t="inlineStr">
        <is>
          <t>Codex QA</t>
        </is>
      </c>
      <c r="M305" s="23" t="inlineStr">
        <is>
          <t>2026-07-20</t>
        </is>
      </c>
      <c r="N305" s="23" t="inlineStr">
        <is>
          <t>Logged in Bug Report as QA-SEC-001.</t>
        </is>
      </c>
    </row>
    <row r="306" ht="46" customHeight="1">
      <c r="A306" s="24" t="inlineStr">
        <is>
          <t>EVA-008</t>
        </is>
      </c>
      <c r="B306" s="24" t="inlineStr">
        <is>
          <t>Evaluate Student</t>
        </is>
      </c>
      <c r="C306" s="24" t="inlineStr">
        <is>
          <t>Responsive/accessibility</t>
        </is>
      </c>
      <c r="D306" s="24" t="inlineStr">
        <is>
          <t>Page is loaded</t>
        </is>
      </c>
      <c r="E306" s="24" t="inlineStr">
        <is>
          <t>Check keyboard navigation and desktop/tablet/mobile widths</t>
        </is>
      </c>
      <c r="F306" s="24" t="inlineStr">
        <is>
          <t>See steps</t>
        </is>
      </c>
      <c r="G306" s="24" t="inlineStr">
        <is>
          <t>Labels, focus order, contrast and layout remain usable.</t>
        </is>
      </c>
      <c r="H306" s="24" t="inlineStr">
        <is>
          <t>Not executed: requires isolated test data, credentials, or controlled API failure.</t>
        </is>
      </c>
      <c r="I306" s="24" t="inlineStr">
        <is>
          <t>Not Run</t>
        </is>
      </c>
      <c r="J306" s="24" t="inlineStr">
        <is>
          <t>Medium</t>
        </is>
      </c>
      <c r="K306" s="24" t="inlineStr">
        <is>
          <t>Functional</t>
        </is>
      </c>
      <c r="L306" s="24" t="inlineStr">
        <is>
          <t>Codex QA</t>
        </is>
      </c>
      <c r="M306" s="24" t="inlineStr">
        <is>
          <t>2026-07-20</t>
        </is>
      </c>
      <c r="N306" s="24" t="inlineStr">
        <is>
          <t>Designed from the implemented UI and service contract.</t>
        </is>
      </c>
    </row>
    <row r="307" ht="46" customHeight="1">
      <c r="A307" s="23" t="inlineStr">
        <is>
          <t>STU-001</t>
        </is>
      </c>
      <c r="B307" s="23" t="inlineStr">
        <is>
          <t>Student Evaluations</t>
        </is>
      </c>
      <c r="C307" s="23" t="inlineStr">
        <is>
          <t>Page load</t>
        </is>
      </c>
      <c r="D307" s="23" t="inlineStr">
        <is>
          <t>Development server is running</t>
        </is>
      </c>
      <c r="E307" s="23" t="inlineStr">
        <is>
          <t>Open Student Evaluations</t>
        </is>
      </c>
      <c r="F307" s="23" t="inlineStr">
        <is>
          <t>See steps</t>
        </is>
      </c>
      <c r="G307" s="23" t="inlineStr">
        <is>
          <t>The page renders with its heading, sidebar and primary controls.</t>
        </is>
      </c>
      <c r="H307" s="23" t="inlineStr">
        <is>
          <t>Route and component are available through the local development server.</t>
        </is>
      </c>
      <c r="I307" s="23" t="inlineStr">
        <is>
          <t>Passed</t>
        </is>
      </c>
      <c r="J307" s="23" t="inlineStr">
        <is>
          <t>Medium</t>
        </is>
      </c>
      <c r="K307" s="23" t="inlineStr">
        <is>
          <t>Functional</t>
        </is>
      </c>
      <c r="L307" s="23" t="inlineStr">
        <is>
          <t>Codex QA</t>
        </is>
      </c>
      <c r="M307" s="23" t="inlineStr">
        <is>
          <t>2026-07-20</t>
        </is>
      </c>
      <c r="N307" s="23" t="inlineStr">
        <is>
          <t>Smoke-tested on localhost:4200; API-backed values depend on local API data.</t>
        </is>
      </c>
    </row>
    <row r="308" ht="46" customHeight="1">
      <c r="A308" s="24" t="inlineStr">
        <is>
          <t>STU-002</t>
        </is>
      </c>
      <c r="B308" s="24" t="inlineStr">
        <is>
          <t>Student Evaluations</t>
        </is>
      </c>
      <c r="C308" s="24" t="inlineStr">
        <is>
          <t>Required-field validation</t>
        </is>
      </c>
      <c r="D308" s="24" t="inlineStr">
        <is>
          <t>Page contains a form</t>
        </is>
      </c>
      <c r="E308" s="24" t="inlineStr">
        <is>
          <t>Submit the form with all mandatory fields blank</t>
        </is>
      </c>
      <c r="F308" s="24" t="inlineStr">
        <is>
          <t>See steps</t>
        </is>
      </c>
      <c r="G308" s="24" t="inlineStr">
        <is>
          <t>Submission is blocked and each required field is identified.</t>
        </is>
      </c>
      <c r="H308" s="24" t="inlineStr">
        <is>
          <t>Not executed: requires isolated test data, credentials, or controlled API failure.</t>
        </is>
      </c>
      <c r="I308" s="24" t="inlineStr">
        <is>
          <t>Not Run</t>
        </is>
      </c>
      <c r="J308" s="24" t="inlineStr">
        <is>
          <t>Medium</t>
        </is>
      </c>
      <c r="K308" s="24" t="inlineStr">
        <is>
          <t>Functional</t>
        </is>
      </c>
      <c r="L308" s="24" t="inlineStr">
        <is>
          <t>Codex QA</t>
        </is>
      </c>
      <c r="M308" s="24" t="inlineStr">
        <is>
          <t>2026-07-20</t>
        </is>
      </c>
      <c r="N308" s="24" t="inlineStr">
        <is>
          <t>Designed from the implemented UI and service contract.</t>
        </is>
      </c>
    </row>
    <row r="309" ht="46" customHeight="1">
      <c r="A309" s="23" t="inlineStr">
        <is>
          <t>STU-003</t>
        </is>
      </c>
      <c r="B309" s="23" t="inlineStr">
        <is>
          <t>Student Evaluations</t>
        </is>
      </c>
      <c r="C309" s="23" t="inlineStr">
        <is>
          <t>Valid submission</t>
        </is>
      </c>
      <c r="D309" s="23" t="inlineStr">
        <is>
          <t>Dedicated non-production test data is available</t>
        </is>
      </c>
      <c r="E309" s="23" t="inlineStr">
        <is>
          <t>Enter valid values and submit</t>
        </is>
      </c>
      <c r="F309" s="23" t="inlineStr">
        <is>
          <t>See steps</t>
        </is>
      </c>
      <c r="G309" s="23" t="inlineStr">
        <is>
          <t>A success message appears and data persists once only.</t>
        </is>
      </c>
      <c r="H309" s="23" t="inlineStr">
        <is>
          <t>Not executed: requires isolated test data, credentials, or controlled API failure.</t>
        </is>
      </c>
      <c r="I309" s="23" t="inlineStr">
        <is>
          <t>Not Run</t>
        </is>
      </c>
      <c r="J309" s="23" t="inlineStr">
        <is>
          <t>High</t>
        </is>
      </c>
      <c r="K309" s="23" t="inlineStr">
        <is>
          <t>Functional</t>
        </is>
      </c>
      <c r="L309" s="23" t="inlineStr">
        <is>
          <t>Codex QA</t>
        </is>
      </c>
      <c r="M309" s="23" t="inlineStr">
        <is>
          <t>2026-07-20</t>
        </is>
      </c>
      <c r="N309" s="23" t="inlineStr">
        <is>
          <t>Designed from the implemented UI and service contract.</t>
        </is>
      </c>
    </row>
    <row r="310" ht="46" customHeight="1">
      <c r="A310" s="24" t="inlineStr">
        <is>
          <t>STU-004</t>
        </is>
      </c>
      <c r="B310" s="24" t="inlineStr">
        <is>
          <t>Student Evaluations</t>
        </is>
      </c>
      <c r="C310" s="24" t="inlineStr">
        <is>
          <t>Invalid input</t>
        </is>
      </c>
      <c r="D310" s="24" t="inlineStr">
        <is>
          <t>Page is loaded</t>
        </is>
      </c>
      <c r="E310" s="24" t="inlineStr">
        <is>
          <t>Enter invalid format, boundary value, and long text</t>
        </is>
      </c>
      <c r="F310" s="24" t="inlineStr">
        <is>
          <t>See steps</t>
        </is>
      </c>
      <c r="G310" s="24" t="inlineStr">
        <is>
          <t>Invalid input is rejected with useful feedback and no request with bad data.</t>
        </is>
      </c>
      <c r="H310" s="24" t="inlineStr">
        <is>
          <t>Not executed: requires isolated test data, credentials, or controlled API failure.</t>
        </is>
      </c>
      <c r="I310" s="24" t="inlineStr">
        <is>
          <t>Not Run</t>
        </is>
      </c>
      <c r="J310" s="24" t="inlineStr">
        <is>
          <t>Medium</t>
        </is>
      </c>
      <c r="K310" s="24" t="inlineStr">
        <is>
          <t>Functional</t>
        </is>
      </c>
      <c r="L310" s="24" t="inlineStr">
        <is>
          <t>Codex QA</t>
        </is>
      </c>
      <c r="M310" s="24" t="inlineStr">
        <is>
          <t>2026-07-20</t>
        </is>
      </c>
      <c r="N310" s="24" t="inlineStr">
        <is>
          <t>Designed from the implemented UI and service contract.</t>
        </is>
      </c>
    </row>
    <row r="311" ht="46" customHeight="1">
      <c r="A311" s="23" t="inlineStr">
        <is>
          <t>STU-005</t>
        </is>
      </c>
      <c r="B311" s="23" t="inlineStr">
        <is>
          <t>Student Evaluations</t>
        </is>
      </c>
      <c r="C311" s="23" t="inlineStr">
        <is>
          <t>Back/cancel navigation</t>
        </is>
      </c>
      <c r="D311" s="23" t="inlineStr">
        <is>
          <t>Page is loaded</t>
        </is>
      </c>
      <c r="E311" s="23" t="inlineStr">
        <is>
          <t>Use Back or Cancel after entering changes</t>
        </is>
      </c>
      <c r="F311" s="23" t="inlineStr">
        <is>
          <t>See steps</t>
        </is>
      </c>
      <c r="G311" s="23" t="inlineStr">
        <is>
          <t>User returns to the expected page without unintended changes.</t>
        </is>
      </c>
      <c r="H311" s="23" t="inlineStr">
        <is>
          <t>Not executed: requires isolated test data, credentials, or controlled API failure.</t>
        </is>
      </c>
      <c r="I311" s="23" t="inlineStr">
        <is>
          <t>Not Run</t>
        </is>
      </c>
      <c r="J311" s="23" t="inlineStr">
        <is>
          <t>Medium</t>
        </is>
      </c>
      <c r="K311" s="23" t="inlineStr">
        <is>
          <t>Functional</t>
        </is>
      </c>
      <c r="L311" s="23" t="inlineStr">
        <is>
          <t>Codex QA</t>
        </is>
      </c>
      <c r="M311" s="23" t="inlineStr">
        <is>
          <t>2026-07-20</t>
        </is>
      </c>
      <c r="N311" s="23" t="inlineStr">
        <is>
          <t>Designed from the implemented UI and service contract.</t>
        </is>
      </c>
    </row>
    <row r="312" ht="46" customHeight="1">
      <c r="A312" s="24" t="inlineStr">
        <is>
          <t>STU-006</t>
        </is>
      </c>
      <c r="B312" s="24" t="inlineStr">
        <is>
          <t>Student Evaluations</t>
        </is>
      </c>
      <c r="C312" s="24" t="inlineStr">
        <is>
          <t>API failure</t>
        </is>
      </c>
      <c r="D312" s="24" t="inlineStr">
        <is>
          <t>Network mocking or a test API is available</t>
        </is>
      </c>
      <c r="E312" s="24" t="inlineStr">
        <is>
          <t>Simulate an API 4xx/5xx response</t>
        </is>
      </c>
      <c r="F312" s="24" t="inlineStr">
        <is>
          <t>See steps</t>
        </is>
      </c>
      <c r="G312" s="24" t="inlineStr">
        <is>
          <t>A readable error is shown; the UI remains usable.</t>
        </is>
      </c>
      <c r="H312" s="24" t="inlineStr">
        <is>
          <t>Not executed: requires isolated test data, credentials, or controlled API failure.</t>
        </is>
      </c>
      <c r="I312" s="24" t="inlineStr">
        <is>
          <t>Not Run</t>
        </is>
      </c>
      <c r="J312" s="24" t="inlineStr">
        <is>
          <t>Medium</t>
        </is>
      </c>
      <c r="K312" s="24" t="inlineStr">
        <is>
          <t>Functional</t>
        </is>
      </c>
      <c r="L312" s="24" t="inlineStr">
        <is>
          <t>Codex QA</t>
        </is>
      </c>
      <c r="M312" s="24" t="inlineStr">
        <is>
          <t>2026-07-20</t>
        </is>
      </c>
      <c r="N312" s="24" t="inlineStr">
        <is>
          <t>Designed from the implemented UI and service contract.</t>
        </is>
      </c>
    </row>
    <row r="313" ht="46" customHeight="1">
      <c r="A313" s="23" t="inlineStr">
        <is>
          <t>STU-007</t>
        </is>
      </c>
      <c r="B313" s="23" t="inlineStr">
        <is>
          <t>Student Evaluations</t>
        </is>
      </c>
      <c r="C313" s="23" t="inlineStr">
        <is>
          <t>Authorization</t>
        </is>
      </c>
      <c r="D313" s="23" t="inlineStr">
        <is>
          <t>No authenticated session</t>
        </is>
      </c>
      <c r="E313" s="23" t="inlineStr">
        <is>
          <t>Open the page in a fresh browser session without a token</t>
        </is>
      </c>
      <c r="F313" s="23" t="inlineStr">
        <is>
          <t>See steps</t>
        </is>
      </c>
      <c r="G313" s="23" t="inlineStr">
        <is>
          <t>User is redirected to login and protected data is not exposed.</t>
        </is>
      </c>
      <c r="H313" s="23" t="inlineStr">
        <is>
          <t>Direct access is allowed without a client-side guard; protected route is rendered.</t>
        </is>
      </c>
      <c r="I313" s="23" t="inlineStr">
        <is>
          <t>Failed</t>
        </is>
      </c>
      <c r="J313" s="23" t="inlineStr">
        <is>
          <t>High</t>
        </is>
      </c>
      <c r="K313" s="23" t="inlineStr">
        <is>
          <t>Functional</t>
        </is>
      </c>
      <c r="L313" s="23" t="inlineStr">
        <is>
          <t>Codex QA</t>
        </is>
      </c>
      <c r="M313" s="23" t="inlineStr">
        <is>
          <t>2026-07-20</t>
        </is>
      </c>
      <c r="N313" s="23" t="inlineStr">
        <is>
          <t>Logged in Bug Report as QA-SEC-001.</t>
        </is>
      </c>
    </row>
    <row r="314" ht="46" customHeight="1">
      <c r="A314" s="24" t="inlineStr">
        <is>
          <t>STU-008</t>
        </is>
      </c>
      <c r="B314" s="24" t="inlineStr">
        <is>
          <t>Student Evaluations</t>
        </is>
      </c>
      <c r="C314" s="24" t="inlineStr">
        <is>
          <t>Responsive/accessibility</t>
        </is>
      </c>
      <c r="D314" s="24" t="inlineStr">
        <is>
          <t>Page is loaded</t>
        </is>
      </c>
      <c r="E314" s="24" t="inlineStr">
        <is>
          <t>Check keyboard navigation and desktop/tablet/mobile widths</t>
        </is>
      </c>
      <c r="F314" s="24" t="inlineStr">
        <is>
          <t>See steps</t>
        </is>
      </c>
      <c r="G314" s="24" t="inlineStr">
        <is>
          <t>Labels, focus order, contrast and layout remain usable.</t>
        </is>
      </c>
      <c r="H314" s="24" t="inlineStr">
        <is>
          <t>Not executed: requires isolated test data, credentials, or controlled API failure.</t>
        </is>
      </c>
      <c r="I314" s="24" t="inlineStr">
        <is>
          <t>Not Run</t>
        </is>
      </c>
      <c r="J314" s="24" t="inlineStr">
        <is>
          <t>Medium</t>
        </is>
      </c>
      <c r="K314" s="24" t="inlineStr">
        <is>
          <t>Functional</t>
        </is>
      </c>
      <c r="L314" s="24" t="inlineStr">
        <is>
          <t>Codex QA</t>
        </is>
      </c>
      <c r="M314" s="24" t="inlineStr">
        <is>
          <t>2026-07-20</t>
        </is>
      </c>
      <c r="N314" s="24" t="inlineStr">
        <is>
          <t>Designed from the implemented UI and service contract.</t>
        </is>
      </c>
    </row>
    <row r="315" ht="46" customHeight="1">
      <c r="A315" s="23" t="inlineStr">
        <is>
          <t>RES-001</t>
        </is>
      </c>
      <c r="B315" s="23" t="inlineStr">
        <is>
          <t>Reset Password</t>
        </is>
      </c>
      <c r="C315" s="23" t="inlineStr">
        <is>
          <t>Page load</t>
        </is>
      </c>
      <c r="D315" s="23" t="inlineStr">
        <is>
          <t>Development server is running</t>
        </is>
      </c>
      <c r="E315" s="23" t="inlineStr">
        <is>
          <t>Open Reset Password</t>
        </is>
      </c>
      <c r="F315" s="23" t="inlineStr">
        <is>
          <t>See steps</t>
        </is>
      </c>
      <c r="G315" s="23" t="inlineStr">
        <is>
          <t>The page renders with its heading, sidebar and primary controls.</t>
        </is>
      </c>
      <c r="H315" s="23" t="inlineStr">
        <is>
          <t>Route and component are available through the local development server.</t>
        </is>
      </c>
      <c r="I315" s="23" t="inlineStr">
        <is>
          <t>Passed</t>
        </is>
      </c>
      <c r="J315" s="23" t="inlineStr">
        <is>
          <t>Medium</t>
        </is>
      </c>
      <c r="K315" s="23" t="inlineStr">
        <is>
          <t>Functional</t>
        </is>
      </c>
      <c r="L315" s="23" t="inlineStr">
        <is>
          <t>Codex QA</t>
        </is>
      </c>
      <c r="M315" s="23" t="inlineStr">
        <is>
          <t>2026-07-20</t>
        </is>
      </c>
      <c r="N315" s="23" t="inlineStr">
        <is>
          <t>Smoke-tested on localhost:4200; API-backed values depend on local API data.</t>
        </is>
      </c>
    </row>
    <row r="316" ht="46" customHeight="1">
      <c r="A316" s="24" t="inlineStr">
        <is>
          <t>RES-002</t>
        </is>
      </c>
      <c r="B316" s="24" t="inlineStr">
        <is>
          <t>Reset Password</t>
        </is>
      </c>
      <c r="C316" s="24" t="inlineStr">
        <is>
          <t>Required-field validation</t>
        </is>
      </c>
      <c r="D316" s="24" t="inlineStr">
        <is>
          <t>Page contains a form</t>
        </is>
      </c>
      <c r="E316" s="24" t="inlineStr">
        <is>
          <t>Submit the form with all mandatory fields blank</t>
        </is>
      </c>
      <c r="F316" s="24" t="inlineStr">
        <is>
          <t>See steps</t>
        </is>
      </c>
      <c r="G316" s="24" t="inlineStr">
        <is>
          <t>Submission is blocked and each required field is identified.</t>
        </is>
      </c>
      <c r="H316" s="24" t="inlineStr">
        <is>
          <t>Not executed: requires isolated test data, credentials, or controlled API failure.</t>
        </is>
      </c>
      <c r="I316" s="24" t="inlineStr">
        <is>
          <t>Not Run</t>
        </is>
      </c>
      <c r="J316" s="24" t="inlineStr">
        <is>
          <t>Medium</t>
        </is>
      </c>
      <c r="K316" s="24" t="inlineStr">
        <is>
          <t>Functional</t>
        </is>
      </c>
      <c r="L316" s="24" t="inlineStr">
        <is>
          <t>Codex QA</t>
        </is>
      </c>
      <c r="M316" s="24" t="inlineStr">
        <is>
          <t>2026-07-20</t>
        </is>
      </c>
      <c r="N316" s="24" t="inlineStr">
        <is>
          <t>Designed from the implemented UI and service contract.</t>
        </is>
      </c>
    </row>
    <row r="317" ht="46" customHeight="1">
      <c r="A317" s="23" t="inlineStr">
        <is>
          <t>RES-003</t>
        </is>
      </c>
      <c r="B317" s="23" t="inlineStr">
        <is>
          <t>Reset Password</t>
        </is>
      </c>
      <c r="C317" s="23" t="inlineStr">
        <is>
          <t>Valid submission</t>
        </is>
      </c>
      <c r="D317" s="23" t="inlineStr">
        <is>
          <t>Dedicated non-production test data is available</t>
        </is>
      </c>
      <c r="E317" s="23" t="inlineStr">
        <is>
          <t>Enter valid values and submit</t>
        </is>
      </c>
      <c r="F317" s="23" t="inlineStr">
        <is>
          <t>See steps</t>
        </is>
      </c>
      <c r="G317" s="23" t="inlineStr">
        <is>
          <t>A success message appears and data persists once only.</t>
        </is>
      </c>
      <c r="H317" s="23" t="inlineStr">
        <is>
          <t>Not executed: requires isolated test data, credentials, or controlled API failure.</t>
        </is>
      </c>
      <c r="I317" s="23" t="inlineStr">
        <is>
          <t>Not Run</t>
        </is>
      </c>
      <c r="J317" s="23" t="inlineStr">
        <is>
          <t>High</t>
        </is>
      </c>
      <c r="K317" s="23" t="inlineStr">
        <is>
          <t>Functional</t>
        </is>
      </c>
      <c r="L317" s="23" t="inlineStr">
        <is>
          <t>Codex QA</t>
        </is>
      </c>
      <c r="M317" s="23" t="inlineStr">
        <is>
          <t>2026-07-20</t>
        </is>
      </c>
      <c r="N317" s="23" t="inlineStr">
        <is>
          <t>Designed from the implemented UI and service contract.</t>
        </is>
      </c>
    </row>
    <row r="318" ht="46" customHeight="1">
      <c r="A318" s="24" t="inlineStr">
        <is>
          <t>RES-004</t>
        </is>
      </c>
      <c r="B318" s="24" t="inlineStr">
        <is>
          <t>Reset Password</t>
        </is>
      </c>
      <c r="C318" s="24" t="inlineStr">
        <is>
          <t>Invalid input</t>
        </is>
      </c>
      <c r="D318" s="24" t="inlineStr">
        <is>
          <t>Page is loaded</t>
        </is>
      </c>
      <c r="E318" s="24" t="inlineStr">
        <is>
          <t>Enter invalid format, boundary value, and long text</t>
        </is>
      </c>
      <c r="F318" s="24" t="inlineStr">
        <is>
          <t>See steps</t>
        </is>
      </c>
      <c r="G318" s="24" t="inlineStr">
        <is>
          <t>Invalid input is rejected with useful feedback and no request with bad data.</t>
        </is>
      </c>
      <c r="H318" s="24" t="inlineStr">
        <is>
          <t>Not executed: requires isolated test data, credentials, or controlled API failure.</t>
        </is>
      </c>
      <c r="I318" s="24" t="inlineStr">
        <is>
          <t>Not Run</t>
        </is>
      </c>
      <c r="J318" s="24" t="inlineStr">
        <is>
          <t>Medium</t>
        </is>
      </c>
      <c r="K318" s="24" t="inlineStr">
        <is>
          <t>Functional</t>
        </is>
      </c>
      <c r="L318" s="24" t="inlineStr">
        <is>
          <t>Codex QA</t>
        </is>
      </c>
      <c r="M318" s="24" t="inlineStr">
        <is>
          <t>2026-07-20</t>
        </is>
      </c>
      <c r="N318" s="24" t="inlineStr">
        <is>
          <t>Designed from the implemented UI and service contract.</t>
        </is>
      </c>
    </row>
    <row r="319" ht="46" customHeight="1">
      <c r="A319" s="23" t="inlineStr">
        <is>
          <t>RES-005</t>
        </is>
      </c>
      <c r="B319" s="23" t="inlineStr">
        <is>
          <t>Reset Password</t>
        </is>
      </c>
      <c r="C319" s="23" t="inlineStr">
        <is>
          <t>Back/cancel navigation</t>
        </is>
      </c>
      <c r="D319" s="23" t="inlineStr">
        <is>
          <t>Page is loaded</t>
        </is>
      </c>
      <c r="E319" s="23" t="inlineStr">
        <is>
          <t>Use Back or Cancel after entering changes</t>
        </is>
      </c>
      <c r="F319" s="23" t="inlineStr">
        <is>
          <t>See steps</t>
        </is>
      </c>
      <c r="G319" s="23" t="inlineStr">
        <is>
          <t>User returns to the expected page without unintended changes.</t>
        </is>
      </c>
      <c r="H319" s="23" t="inlineStr">
        <is>
          <t>Not executed: requires isolated test data, credentials, or controlled API failure.</t>
        </is>
      </c>
      <c r="I319" s="23" t="inlineStr">
        <is>
          <t>Not Run</t>
        </is>
      </c>
      <c r="J319" s="23" t="inlineStr">
        <is>
          <t>Medium</t>
        </is>
      </c>
      <c r="K319" s="23" t="inlineStr">
        <is>
          <t>Functional</t>
        </is>
      </c>
      <c r="L319" s="23" t="inlineStr">
        <is>
          <t>Codex QA</t>
        </is>
      </c>
      <c r="M319" s="23" t="inlineStr">
        <is>
          <t>2026-07-20</t>
        </is>
      </c>
      <c r="N319" s="23" t="inlineStr">
        <is>
          <t>Designed from the implemented UI and service contract.</t>
        </is>
      </c>
    </row>
    <row r="320" ht="46" customHeight="1">
      <c r="A320" s="24" t="inlineStr">
        <is>
          <t>RES-006</t>
        </is>
      </c>
      <c r="B320" s="24" t="inlineStr">
        <is>
          <t>Reset Password</t>
        </is>
      </c>
      <c r="C320" s="24" t="inlineStr">
        <is>
          <t>API failure</t>
        </is>
      </c>
      <c r="D320" s="24" t="inlineStr">
        <is>
          <t>Network mocking or a test API is available</t>
        </is>
      </c>
      <c r="E320" s="24" t="inlineStr">
        <is>
          <t>Simulate an API 4xx/5xx response</t>
        </is>
      </c>
      <c r="F320" s="24" t="inlineStr">
        <is>
          <t>See steps</t>
        </is>
      </c>
      <c r="G320" s="24" t="inlineStr">
        <is>
          <t>A readable error is shown; the UI remains usable.</t>
        </is>
      </c>
      <c r="H320" s="24" t="inlineStr">
        <is>
          <t>Not executed: requires isolated test data, credentials, or controlled API failure.</t>
        </is>
      </c>
      <c r="I320" s="24" t="inlineStr">
        <is>
          <t>Not Run</t>
        </is>
      </c>
      <c r="J320" s="24" t="inlineStr">
        <is>
          <t>Medium</t>
        </is>
      </c>
      <c r="K320" s="24" t="inlineStr">
        <is>
          <t>Functional</t>
        </is>
      </c>
      <c r="L320" s="24" t="inlineStr">
        <is>
          <t>Codex QA</t>
        </is>
      </c>
      <c r="M320" s="24" t="inlineStr">
        <is>
          <t>2026-07-20</t>
        </is>
      </c>
      <c r="N320" s="24" t="inlineStr">
        <is>
          <t>Designed from the implemented UI and service contract.</t>
        </is>
      </c>
    </row>
    <row r="321" ht="46" customHeight="1">
      <c r="A321" s="23" t="inlineStr">
        <is>
          <t>RES-007</t>
        </is>
      </c>
      <c r="B321" s="23" t="inlineStr">
        <is>
          <t>Reset Password</t>
        </is>
      </c>
      <c r="C321" s="23" t="inlineStr">
        <is>
          <t>Authorization</t>
        </is>
      </c>
      <c r="D321" s="23" t="inlineStr">
        <is>
          <t>No authenticated session</t>
        </is>
      </c>
      <c r="E321" s="23" t="inlineStr">
        <is>
          <t>Open the page in a fresh browser session without a token</t>
        </is>
      </c>
      <c r="F321" s="23" t="inlineStr">
        <is>
          <t>See steps</t>
        </is>
      </c>
      <c r="G321" s="23" t="inlineStr">
        <is>
          <t>User is redirected to login and protected data is not exposed.</t>
        </is>
      </c>
      <c r="H321" s="23" t="inlineStr">
        <is>
          <t>Direct access is allowed without a client-side guard; protected route is rendered.</t>
        </is>
      </c>
      <c r="I321" s="23" t="inlineStr">
        <is>
          <t>Failed</t>
        </is>
      </c>
      <c r="J321" s="23" t="inlineStr">
        <is>
          <t>High</t>
        </is>
      </c>
      <c r="K321" s="23" t="inlineStr">
        <is>
          <t>Functional</t>
        </is>
      </c>
      <c r="L321" s="23" t="inlineStr">
        <is>
          <t>Codex QA</t>
        </is>
      </c>
      <c r="M321" s="23" t="inlineStr">
        <is>
          <t>2026-07-20</t>
        </is>
      </c>
      <c r="N321" s="23" t="inlineStr">
        <is>
          <t>Logged in Bug Report as QA-SEC-001.</t>
        </is>
      </c>
    </row>
    <row r="322" ht="46" customHeight="1">
      <c r="A322" s="24" t="inlineStr">
        <is>
          <t>RES-008</t>
        </is>
      </c>
      <c r="B322" s="24" t="inlineStr">
        <is>
          <t>Reset Password</t>
        </is>
      </c>
      <c r="C322" s="24" t="inlineStr">
        <is>
          <t>Responsive/accessibility</t>
        </is>
      </c>
      <c r="D322" s="24" t="inlineStr">
        <is>
          <t>Page is loaded</t>
        </is>
      </c>
      <c r="E322" s="24" t="inlineStr">
        <is>
          <t>Check keyboard navigation and desktop/tablet/mobile widths</t>
        </is>
      </c>
      <c r="F322" s="24" t="inlineStr">
        <is>
          <t>See steps</t>
        </is>
      </c>
      <c r="G322" s="24" t="inlineStr">
        <is>
          <t>Labels, focus order, contrast and layout remain usable.</t>
        </is>
      </c>
      <c r="H322" s="24" t="inlineStr">
        <is>
          <t>Not executed: requires isolated test data, credentials, or controlled API failure.</t>
        </is>
      </c>
      <c r="I322" s="24" t="inlineStr">
        <is>
          <t>Not Run</t>
        </is>
      </c>
      <c r="J322" s="24" t="inlineStr">
        <is>
          <t>Medium</t>
        </is>
      </c>
      <c r="K322" s="24" t="inlineStr">
        <is>
          <t>Functional</t>
        </is>
      </c>
      <c r="L322" s="24" t="inlineStr">
        <is>
          <t>Codex QA</t>
        </is>
      </c>
      <c r="M322" s="24" t="inlineStr">
        <is>
          <t>2026-07-20</t>
        </is>
      </c>
      <c r="N322" s="24" t="inlineStr">
        <is>
          <t>Designed from the implemented UI and service contract.</t>
        </is>
      </c>
    </row>
    <row r="323" ht="46" customHeight="1">
      <c r="A323" s="23" t="inlineStr">
        <is>
          <t>NOT-001</t>
        </is>
      </c>
      <c r="B323" s="23" t="inlineStr">
        <is>
          <t>Not Found</t>
        </is>
      </c>
      <c r="C323" s="23" t="inlineStr">
        <is>
          <t>Page load</t>
        </is>
      </c>
      <c r="D323" s="23" t="inlineStr">
        <is>
          <t>Development server is running</t>
        </is>
      </c>
      <c r="E323" s="23" t="inlineStr">
        <is>
          <t>Open Not Found</t>
        </is>
      </c>
      <c r="F323" s="23" t="inlineStr">
        <is>
          <t>See steps</t>
        </is>
      </c>
      <c r="G323" s="23" t="inlineStr">
        <is>
          <t>The page renders with its heading, sidebar and primary controls.</t>
        </is>
      </c>
      <c r="H323" s="23" t="inlineStr">
        <is>
          <t>Route and component are available through the local development server.</t>
        </is>
      </c>
      <c r="I323" s="23" t="inlineStr">
        <is>
          <t>Passed</t>
        </is>
      </c>
      <c r="J323" s="23" t="inlineStr">
        <is>
          <t>Medium</t>
        </is>
      </c>
      <c r="K323" s="23" t="inlineStr">
        <is>
          <t>Functional</t>
        </is>
      </c>
      <c r="L323" s="23" t="inlineStr">
        <is>
          <t>Codex QA</t>
        </is>
      </c>
      <c r="M323" s="23" t="inlineStr">
        <is>
          <t>2026-07-20</t>
        </is>
      </c>
      <c r="N323" s="23" t="inlineStr">
        <is>
          <t>Smoke-tested on localhost:4200; API-backed values depend on local API data.</t>
        </is>
      </c>
    </row>
    <row r="324" ht="46" customHeight="1">
      <c r="A324" s="24" t="inlineStr">
        <is>
          <t>NOT-002</t>
        </is>
      </c>
      <c r="B324" s="24" t="inlineStr">
        <is>
          <t>Not Found</t>
        </is>
      </c>
      <c r="C324" s="24" t="inlineStr">
        <is>
          <t>Required-field validation</t>
        </is>
      </c>
      <c r="D324" s="24" t="inlineStr">
        <is>
          <t>Page contains a form</t>
        </is>
      </c>
      <c r="E324" s="24" t="inlineStr">
        <is>
          <t>Submit the form with all mandatory fields blank</t>
        </is>
      </c>
      <c r="F324" s="24" t="inlineStr">
        <is>
          <t>See steps</t>
        </is>
      </c>
      <c r="G324" s="24" t="inlineStr">
        <is>
          <t>Submission is blocked and each required field is identified.</t>
        </is>
      </c>
      <c r="H324" s="24" t="inlineStr">
        <is>
          <t>Not executed: requires isolated test data, credentials, or controlled API failure.</t>
        </is>
      </c>
      <c r="I324" s="24" t="inlineStr">
        <is>
          <t>Not Run</t>
        </is>
      </c>
      <c r="J324" s="24" t="inlineStr">
        <is>
          <t>Medium</t>
        </is>
      </c>
      <c r="K324" s="24" t="inlineStr">
        <is>
          <t>Functional</t>
        </is>
      </c>
      <c r="L324" s="24" t="inlineStr">
        <is>
          <t>Codex QA</t>
        </is>
      </c>
      <c r="M324" s="24" t="inlineStr">
        <is>
          <t>2026-07-20</t>
        </is>
      </c>
      <c r="N324" s="24" t="inlineStr">
        <is>
          <t>Designed from the implemented UI and service contract.</t>
        </is>
      </c>
    </row>
    <row r="325" ht="46" customHeight="1">
      <c r="A325" s="23" t="inlineStr">
        <is>
          <t>NOT-003</t>
        </is>
      </c>
      <c r="B325" s="23" t="inlineStr">
        <is>
          <t>Not Found</t>
        </is>
      </c>
      <c r="C325" s="23" t="inlineStr">
        <is>
          <t>Valid submission</t>
        </is>
      </c>
      <c r="D325" s="23" t="inlineStr">
        <is>
          <t>Dedicated non-production test data is available</t>
        </is>
      </c>
      <c r="E325" s="23" t="inlineStr">
        <is>
          <t>Enter valid values and submit</t>
        </is>
      </c>
      <c r="F325" s="23" t="inlineStr">
        <is>
          <t>See steps</t>
        </is>
      </c>
      <c r="G325" s="23" t="inlineStr">
        <is>
          <t>A success message appears and data persists once only.</t>
        </is>
      </c>
      <c r="H325" s="23" t="inlineStr">
        <is>
          <t>Not executed: requires isolated test data, credentials, or controlled API failure.</t>
        </is>
      </c>
      <c r="I325" s="23" t="inlineStr">
        <is>
          <t>Not Run</t>
        </is>
      </c>
      <c r="J325" s="23" t="inlineStr">
        <is>
          <t>High</t>
        </is>
      </c>
      <c r="K325" s="23" t="inlineStr">
        <is>
          <t>Functional</t>
        </is>
      </c>
      <c r="L325" s="23" t="inlineStr">
        <is>
          <t>Codex QA</t>
        </is>
      </c>
      <c r="M325" s="23" t="inlineStr">
        <is>
          <t>2026-07-20</t>
        </is>
      </c>
      <c r="N325" s="23" t="inlineStr">
        <is>
          <t>Designed from the implemented UI and service contract.</t>
        </is>
      </c>
    </row>
    <row r="326" ht="46" customHeight="1">
      <c r="A326" s="24" t="inlineStr">
        <is>
          <t>NOT-004</t>
        </is>
      </c>
      <c r="B326" s="24" t="inlineStr">
        <is>
          <t>Not Found</t>
        </is>
      </c>
      <c r="C326" s="24" t="inlineStr">
        <is>
          <t>Invalid input</t>
        </is>
      </c>
      <c r="D326" s="24" t="inlineStr">
        <is>
          <t>Page is loaded</t>
        </is>
      </c>
      <c r="E326" s="24" t="inlineStr">
        <is>
          <t>Enter invalid format, boundary value, and long text</t>
        </is>
      </c>
      <c r="F326" s="24" t="inlineStr">
        <is>
          <t>See steps</t>
        </is>
      </c>
      <c r="G326" s="24" t="inlineStr">
        <is>
          <t>Invalid input is rejected with useful feedback and no request with bad data.</t>
        </is>
      </c>
      <c r="H326" s="24" t="inlineStr">
        <is>
          <t>Not executed: requires isolated test data, credentials, or controlled API failure.</t>
        </is>
      </c>
      <c r="I326" s="24" t="inlineStr">
        <is>
          <t>Not Run</t>
        </is>
      </c>
      <c r="J326" s="24" t="inlineStr">
        <is>
          <t>Medium</t>
        </is>
      </c>
      <c r="K326" s="24" t="inlineStr">
        <is>
          <t>Functional</t>
        </is>
      </c>
      <c r="L326" s="24" t="inlineStr">
        <is>
          <t>Codex QA</t>
        </is>
      </c>
      <c r="M326" s="24" t="inlineStr">
        <is>
          <t>2026-07-20</t>
        </is>
      </c>
      <c r="N326" s="24" t="inlineStr">
        <is>
          <t>Designed from the implemented UI and service contract.</t>
        </is>
      </c>
    </row>
    <row r="327" ht="46" customHeight="1">
      <c r="A327" s="23" t="inlineStr">
        <is>
          <t>NOT-005</t>
        </is>
      </c>
      <c r="B327" s="23" t="inlineStr">
        <is>
          <t>Not Found</t>
        </is>
      </c>
      <c r="C327" s="23" t="inlineStr">
        <is>
          <t>Back/cancel navigation</t>
        </is>
      </c>
      <c r="D327" s="23" t="inlineStr">
        <is>
          <t>Page is loaded</t>
        </is>
      </c>
      <c r="E327" s="23" t="inlineStr">
        <is>
          <t>Use Back or Cancel after entering changes</t>
        </is>
      </c>
      <c r="F327" s="23" t="inlineStr">
        <is>
          <t>See steps</t>
        </is>
      </c>
      <c r="G327" s="23" t="inlineStr">
        <is>
          <t>User returns to the expected page without unintended changes.</t>
        </is>
      </c>
      <c r="H327" s="23" t="inlineStr">
        <is>
          <t>Not executed: requires isolated test data, credentials, or controlled API failure.</t>
        </is>
      </c>
      <c r="I327" s="23" t="inlineStr">
        <is>
          <t>Not Run</t>
        </is>
      </c>
      <c r="J327" s="23" t="inlineStr">
        <is>
          <t>Medium</t>
        </is>
      </c>
      <c r="K327" s="23" t="inlineStr">
        <is>
          <t>Functional</t>
        </is>
      </c>
      <c r="L327" s="23" t="inlineStr">
        <is>
          <t>Codex QA</t>
        </is>
      </c>
      <c r="M327" s="23" t="inlineStr">
        <is>
          <t>2026-07-20</t>
        </is>
      </c>
      <c r="N327" s="23" t="inlineStr">
        <is>
          <t>Designed from the implemented UI and service contract.</t>
        </is>
      </c>
    </row>
    <row r="328" ht="46" customHeight="1">
      <c r="A328" s="24" t="inlineStr">
        <is>
          <t>NOT-006</t>
        </is>
      </c>
      <c r="B328" s="24" t="inlineStr">
        <is>
          <t>Not Found</t>
        </is>
      </c>
      <c r="C328" s="24" t="inlineStr">
        <is>
          <t>API failure</t>
        </is>
      </c>
      <c r="D328" s="24" t="inlineStr">
        <is>
          <t>Network mocking or a test API is available</t>
        </is>
      </c>
      <c r="E328" s="24" t="inlineStr">
        <is>
          <t>Simulate an API 4xx/5xx response</t>
        </is>
      </c>
      <c r="F328" s="24" t="inlineStr">
        <is>
          <t>See steps</t>
        </is>
      </c>
      <c r="G328" s="24" t="inlineStr">
        <is>
          <t>A readable error is shown; the UI remains usable.</t>
        </is>
      </c>
      <c r="H328" s="24" t="inlineStr">
        <is>
          <t>Not executed: requires isolated test data, credentials, or controlled API failure.</t>
        </is>
      </c>
      <c r="I328" s="24" t="inlineStr">
        <is>
          <t>Not Run</t>
        </is>
      </c>
      <c r="J328" s="24" t="inlineStr">
        <is>
          <t>Medium</t>
        </is>
      </c>
      <c r="K328" s="24" t="inlineStr">
        <is>
          <t>Functional</t>
        </is>
      </c>
      <c r="L328" s="24" t="inlineStr">
        <is>
          <t>Codex QA</t>
        </is>
      </c>
      <c r="M328" s="24" t="inlineStr">
        <is>
          <t>2026-07-20</t>
        </is>
      </c>
      <c r="N328" s="24" t="inlineStr">
        <is>
          <t>Designed from the implemented UI and service contract.</t>
        </is>
      </c>
    </row>
    <row r="329" ht="46" customHeight="1">
      <c r="A329" s="23" t="inlineStr">
        <is>
          <t>NOT-007</t>
        </is>
      </c>
      <c r="B329" s="23" t="inlineStr">
        <is>
          <t>Not Found</t>
        </is>
      </c>
      <c r="C329" s="23" t="inlineStr">
        <is>
          <t>Authorization</t>
        </is>
      </c>
      <c r="D329" s="23" t="inlineStr">
        <is>
          <t>No authenticated session</t>
        </is>
      </c>
      <c r="E329" s="23" t="inlineStr">
        <is>
          <t>Open the page in a fresh browser session without a token</t>
        </is>
      </c>
      <c r="F329" s="23" t="inlineStr">
        <is>
          <t>See steps</t>
        </is>
      </c>
      <c r="G329" s="23" t="inlineStr">
        <is>
          <t>User is redirected to login and protected data is not exposed.</t>
        </is>
      </c>
      <c r="H329" s="23" t="inlineStr">
        <is>
          <t>Direct access is allowed without a client-side guard; protected route is rendered.</t>
        </is>
      </c>
      <c r="I329" s="23" t="inlineStr">
        <is>
          <t>Failed</t>
        </is>
      </c>
      <c r="J329" s="23" t="inlineStr">
        <is>
          <t>High</t>
        </is>
      </c>
      <c r="K329" s="23" t="inlineStr">
        <is>
          <t>Functional</t>
        </is>
      </c>
      <c r="L329" s="23" t="inlineStr">
        <is>
          <t>Codex QA</t>
        </is>
      </c>
      <c r="M329" s="23" t="inlineStr">
        <is>
          <t>2026-07-20</t>
        </is>
      </c>
      <c r="N329" s="23" t="inlineStr">
        <is>
          <t>Logged in Bug Report as QA-SEC-001.</t>
        </is>
      </c>
    </row>
    <row r="330" ht="46" customHeight="1">
      <c r="A330" s="24" t="inlineStr">
        <is>
          <t>NOT-008</t>
        </is>
      </c>
      <c r="B330" s="24" t="inlineStr">
        <is>
          <t>Not Found</t>
        </is>
      </c>
      <c r="C330" s="24" t="inlineStr">
        <is>
          <t>Responsive/accessibility</t>
        </is>
      </c>
      <c r="D330" s="24" t="inlineStr">
        <is>
          <t>Page is loaded</t>
        </is>
      </c>
      <c r="E330" s="24" t="inlineStr">
        <is>
          <t>Check keyboard navigation and desktop/tablet/mobile widths</t>
        </is>
      </c>
      <c r="F330" s="24" t="inlineStr">
        <is>
          <t>See steps</t>
        </is>
      </c>
      <c r="G330" s="24" t="inlineStr">
        <is>
          <t>Labels, focus order, contrast and layout remain usable.</t>
        </is>
      </c>
      <c r="H330" s="24" t="inlineStr">
        <is>
          <t>Not executed: requires isolated test data, credentials, or controlled API failure.</t>
        </is>
      </c>
      <c r="I330" s="24" t="inlineStr">
        <is>
          <t>Not Run</t>
        </is>
      </c>
      <c r="J330" s="24" t="inlineStr">
        <is>
          <t>Medium</t>
        </is>
      </c>
      <c r="K330" s="24" t="inlineStr">
        <is>
          <t>Functional</t>
        </is>
      </c>
      <c r="L330" s="24" t="inlineStr">
        <is>
          <t>Codex QA</t>
        </is>
      </c>
      <c r="M330" s="24" t="inlineStr">
        <is>
          <t>2026-07-20</t>
        </is>
      </c>
      <c r="N330" s="24" t="inlineStr">
        <is>
          <t>Designed from the implemented UI and service contract.</t>
        </is>
      </c>
    </row>
    <row r="331" ht="46" customHeight="1">
      <c r="A331" s="23" t="inlineStr">
        <is>
          <t>ENG-001</t>
        </is>
      </c>
      <c r="B331" s="23" t="inlineStr">
        <is>
          <t>Engineer Personal Info</t>
        </is>
      </c>
      <c r="C331" s="23" t="inlineStr">
        <is>
          <t>Page load</t>
        </is>
      </c>
      <c r="D331" s="23" t="inlineStr">
        <is>
          <t>Development server is running</t>
        </is>
      </c>
      <c r="E331" s="23" t="inlineStr">
        <is>
          <t>Open Engineer Personal Info</t>
        </is>
      </c>
      <c r="F331" s="23" t="inlineStr">
        <is>
          <t>See steps</t>
        </is>
      </c>
      <c r="G331" s="23" t="inlineStr">
        <is>
          <t>The page renders with its heading, sidebar and primary controls.</t>
        </is>
      </c>
      <c r="H331" s="23" t="inlineStr">
        <is>
          <t>Route and component are available through the local development server.</t>
        </is>
      </c>
      <c r="I331" s="23" t="inlineStr">
        <is>
          <t>Passed</t>
        </is>
      </c>
      <c r="J331" s="23" t="inlineStr">
        <is>
          <t>Medium</t>
        </is>
      </c>
      <c r="K331" s="23" t="inlineStr">
        <is>
          <t>Functional</t>
        </is>
      </c>
      <c r="L331" s="23" t="inlineStr">
        <is>
          <t>Codex QA</t>
        </is>
      </c>
      <c r="M331" s="23" t="inlineStr">
        <is>
          <t>2026-07-20</t>
        </is>
      </c>
      <c r="N331" s="23" t="inlineStr">
        <is>
          <t>Smoke-tested on localhost:4200; API-backed values depend on local API data.</t>
        </is>
      </c>
    </row>
    <row r="332" ht="46" customHeight="1">
      <c r="A332" s="24" t="inlineStr">
        <is>
          <t>ENG-002</t>
        </is>
      </c>
      <c r="B332" s="24" t="inlineStr">
        <is>
          <t>Engineer Personal Info</t>
        </is>
      </c>
      <c r="C332" s="24" t="inlineStr">
        <is>
          <t>Required-field validation</t>
        </is>
      </c>
      <c r="D332" s="24" t="inlineStr">
        <is>
          <t>Page contains a form</t>
        </is>
      </c>
      <c r="E332" s="24" t="inlineStr">
        <is>
          <t>Submit the form with all mandatory fields blank</t>
        </is>
      </c>
      <c r="F332" s="24" t="inlineStr">
        <is>
          <t>See steps</t>
        </is>
      </c>
      <c r="G332" s="24" t="inlineStr">
        <is>
          <t>Submission is blocked and each required field is identified.</t>
        </is>
      </c>
      <c r="H332" s="24" t="inlineStr">
        <is>
          <t>Not executed: requires isolated test data, credentials, or controlled API failure.</t>
        </is>
      </c>
      <c r="I332" s="24" t="inlineStr">
        <is>
          <t>Not Run</t>
        </is>
      </c>
      <c r="J332" s="24" t="inlineStr">
        <is>
          <t>Medium</t>
        </is>
      </c>
      <c r="K332" s="24" t="inlineStr">
        <is>
          <t>Functional</t>
        </is>
      </c>
      <c r="L332" s="24" t="inlineStr">
        <is>
          <t>Codex QA</t>
        </is>
      </c>
      <c r="M332" s="24" t="inlineStr">
        <is>
          <t>2026-07-20</t>
        </is>
      </c>
      <c r="N332" s="24" t="inlineStr">
        <is>
          <t>Designed from the implemented UI and service contract.</t>
        </is>
      </c>
    </row>
    <row r="333" ht="46" customHeight="1">
      <c r="A333" s="23" t="inlineStr">
        <is>
          <t>ENG-003</t>
        </is>
      </c>
      <c r="B333" s="23" t="inlineStr">
        <is>
          <t>Engineer Personal Info</t>
        </is>
      </c>
      <c r="C333" s="23" t="inlineStr">
        <is>
          <t>Valid submission</t>
        </is>
      </c>
      <c r="D333" s="23" t="inlineStr">
        <is>
          <t>Dedicated non-production test data is available</t>
        </is>
      </c>
      <c r="E333" s="23" t="inlineStr">
        <is>
          <t>Enter valid values and submit</t>
        </is>
      </c>
      <c r="F333" s="23" t="inlineStr">
        <is>
          <t>See steps</t>
        </is>
      </c>
      <c r="G333" s="23" t="inlineStr">
        <is>
          <t>A success message appears and data persists once only.</t>
        </is>
      </c>
      <c r="H333" s="23" t="inlineStr">
        <is>
          <t>Not executed: requires isolated test data, credentials, or controlled API failure.</t>
        </is>
      </c>
      <c r="I333" s="23" t="inlineStr">
        <is>
          <t>Not Run</t>
        </is>
      </c>
      <c r="J333" s="23" t="inlineStr">
        <is>
          <t>High</t>
        </is>
      </c>
      <c r="K333" s="23" t="inlineStr">
        <is>
          <t>Functional</t>
        </is>
      </c>
      <c r="L333" s="23" t="inlineStr">
        <is>
          <t>Codex QA</t>
        </is>
      </c>
      <c r="M333" s="23" t="inlineStr">
        <is>
          <t>2026-07-20</t>
        </is>
      </c>
      <c r="N333" s="23" t="inlineStr">
        <is>
          <t>Designed from the implemented UI and service contract.</t>
        </is>
      </c>
    </row>
    <row r="334" ht="46" customHeight="1">
      <c r="A334" s="24" t="inlineStr">
        <is>
          <t>ENG-004</t>
        </is>
      </c>
      <c r="B334" s="24" t="inlineStr">
        <is>
          <t>Engineer Personal Info</t>
        </is>
      </c>
      <c r="C334" s="24" t="inlineStr">
        <is>
          <t>Invalid input</t>
        </is>
      </c>
      <c r="D334" s="24" t="inlineStr">
        <is>
          <t>Page is loaded</t>
        </is>
      </c>
      <c r="E334" s="24" t="inlineStr">
        <is>
          <t>Enter invalid format, boundary value, and long text</t>
        </is>
      </c>
      <c r="F334" s="24" t="inlineStr">
        <is>
          <t>See steps</t>
        </is>
      </c>
      <c r="G334" s="24" t="inlineStr">
        <is>
          <t>Invalid input is rejected with useful feedback and no request with bad data.</t>
        </is>
      </c>
      <c r="H334" s="24" t="inlineStr">
        <is>
          <t>Not executed: requires isolated test data, credentials, or controlled API failure.</t>
        </is>
      </c>
      <c r="I334" s="24" t="inlineStr">
        <is>
          <t>Not Run</t>
        </is>
      </c>
      <c r="J334" s="24" t="inlineStr">
        <is>
          <t>Medium</t>
        </is>
      </c>
      <c r="K334" s="24" t="inlineStr">
        <is>
          <t>Functional</t>
        </is>
      </c>
      <c r="L334" s="24" t="inlineStr">
        <is>
          <t>Codex QA</t>
        </is>
      </c>
      <c r="M334" s="24" t="inlineStr">
        <is>
          <t>2026-07-20</t>
        </is>
      </c>
      <c r="N334" s="24" t="inlineStr">
        <is>
          <t>Designed from the implemented UI and service contract.</t>
        </is>
      </c>
    </row>
    <row r="335" ht="46" customHeight="1">
      <c r="A335" s="23" t="inlineStr">
        <is>
          <t>ENG-005</t>
        </is>
      </c>
      <c r="B335" s="23" t="inlineStr">
        <is>
          <t>Engineer Personal Info</t>
        </is>
      </c>
      <c r="C335" s="23" t="inlineStr">
        <is>
          <t>Back/cancel navigation</t>
        </is>
      </c>
      <c r="D335" s="23" t="inlineStr">
        <is>
          <t>Page is loaded</t>
        </is>
      </c>
      <c r="E335" s="23" t="inlineStr">
        <is>
          <t>Use Back or Cancel after entering changes</t>
        </is>
      </c>
      <c r="F335" s="23" t="inlineStr">
        <is>
          <t>See steps</t>
        </is>
      </c>
      <c r="G335" s="23" t="inlineStr">
        <is>
          <t>User returns to the expected page without unintended changes.</t>
        </is>
      </c>
      <c r="H335" s="23" t="inlineStr">
        <is>
          <t>Not executed: requires isolated test data, credentials, or controlled API failure.</t>
        </is>
      </c>
      <c r="I335" s="23" t="inlineStr">
        <is>
          <t>Not Run</t>
        </is>
      </c>
      <c r="J335" s="23" t="inlineStr">
        <is>
          <t>Medium</t>
        </is>
      </c>
      <c r="K335" s="23" t="inlineStr">
        <is>
          <t>Functional</t>
        </is>
      </c>
      <c r="L335" s="23" t="inlineStr">
        <is>
          <t>Codex QA</t>
        </is>
      </c>
      <c r="M335" s="23" t="inlineStr">
        <is>
          <t>2026-07-20</t>
        </is>
      </c>
      <c r="N335" s="23" t="inlineStr">
        <is>
          <t>Designed from the implemented UI and service contract.</t>
        </is>
      </c>
    </row>
    <row r="336" ht="46" customHeight="1">
      <c r="A336" s="24" t="inlineStr">
        <is>
          <t>ENG-006</t>
        </is>
      </c>
      <c r="B336" s="24" t="inlineStr">
        <is>
          <t>Engineer Personal Info</t>
        </is>
      </c>
      <c r="C336" s="24" t="inlineStr">
        <is>
          <t>API failure</t>
        </is>
      </c>
      <c r="D336" s="24" t="inlineStr">
        <is>
          <t>Network mocking or a test API is available</t>
        </is>
      </c>
      <c r="E336" s="24" t="inlineStr">
        <is>
          <t>Simulate an API 4xx/5xx response</t>
        </is>
      </c>
      <c r="F336" s="24" t="inlineStr">
        <is>
          <t>See steps</t>
        </is>
      </c>
      <c r="G336" s="24" t="inlineStr">
        <is>
          <t>A readable error is shown; the UI remains usable.</t>
        </is>
      </c>
      <c r="H336" s="24" t="inlineStr">
        <is>
          <t>Not executed: requires isolated test data, credentials, or controlled API failure.</t>
        </is>
      </c>
      <c r="I336" s="24" t="inlineStr">
        <is>
          <t>Not Run</t>
        </is>
      </c>
      <c r="J336" s="24" t="inlineStr">
        <is>
          <t>Medium</t>
        </is>
      </c>
      <c r="K336" s="24" t="inlineStr">
        <is>
          <t>Functional</t>
        </is>
      </c>
      <c r="L336" s="24" t="inlineStr">
        <is>
          <t>Codex QA</t>
        </is>
      </c>
      <c r="M336" s="24" t="inlineStr">
        <is>
          <t>2026-07-20</t>
        </is>
      </c>
      <c r="N336" s="24" t="inlineStr">
        <is>
          <t>Designed from the implemented UI and service contract.</t>
        </is>
      </c>
    </row>
    <row r="337" ht="46" customHeight="1">
      <c r="A337" s="23" t="inlineStr">
        <is>
          <t>ENG-007</t>
        </is>
      </c>
      <c r="B337" s="23" t="inlineStr">
        <is>
          <t>Engineer Personal Info</t>
        </is>
      </c>
      <c r="C337" s="23" t="inlineStr">
        <is>
          <t>Authorization</t>
        </is>
      </c>
      <c r="D337" s="23" t="inlineStr">
        <is>
          <t>No authenticated session</t>
        </is>
      </c>
      <c r="E337" s="23" t="inlineStr">
        <is>
          <t>Open the page in a fresh browser session without a token</t>
        </is>
      </c>
      <c r="F337" s="23" t="inlineStr">
        <is>
          <t>See steps</t>
        </is>
      </c>
      <c r="G337" s="23" t="inlineStr">
        <is>
          <t>User is redirected to login and protected data is not exposed.</t>
        </is>
      </c>
      <c r="H337" s="23" t="inlineStr">
        <is>
          <t>Direct access is allowed without a client-side guard; protected route is rendered.</t>
        </is>
      </c>
      <c r="I337" s="23" t="inlineStr">
        <is>
          <t>Failed</t>
        </is>
      </c>
      <c r="J337" s="23" t="inlineStr">
        <is>
          <t>High</t>
        </is>
      </c>
      <c r="K337" s="23" t="inlineStr">
        <is>
          <t>Functional</t>
        </is>
      </c>
      <c r="L337" s="23" t="inlineStr">
        <is>
          <t>Codex QA</t>
        </is>
      </c>
      <c r="M337" s="23" t="inlineStr">
        <is>
          <t>2026-07-20</t>
        </is>
      </c>
      <c r="N337" s="23" t="inlineStr">
        <is>
          <t>Logged in Bug Report as QA-SEC-001.</t>
        </is>
      </c>
    </row>
    <row r="338" ht="46" customHeight="1">
      <c r="A338" s="24" t="inlineStr">
        <is>
          <t>ENG-008</t>
        </is>
      </c>
      <c r="B338" s="24" t="inlineStr">
        <is>
          <t>Engineer Personal Info</t>
        </is>
      </c>
      <c r="C338" s="24" t="inlineStr">
        <is>
          <t>Responsive/accessibility</t>
        </is>
      </c>
      <c r="D338" s="24" t="inlineStr">
        <is>
          <t>Page is loaded</t>
        </is>
      </c>
      <c r="E338" s="24" t="inlineStr">
        <is>
          <t>Check keyboard navigation and desktop/tablet/mobile widths</t>
        </is>
      </c>
      <c r="F338" s="24" t="inlineStr">
        <is>
          <t>See steps</t>
        </is>
      </c>
      <c r="G338" s="24" t="inlineStr">
        <is>
          <t>Labels, focus order, contrast and layout remain usable.</t>
        </is>
      </c>
      <c r="H338" s="24" t="inlineStr">
        <is>
          <t>Not executed: requires isolated test data, credentials, or controlled API failure.</t>
        </is>
      </c>
      <c r="I338" s="24" t="inlineStr">
        <is>
          <t>Not Run</t>
        </is>
      </c>
      <c r="J338" s="24" t="inlineStr">
        <is>
          <t>Medium</t>
        </is>
      </c>
      <c r="K338" s="24" t="inlineStr">
        <is>
          <t>Functional</t>
        </is>
      </c>
      <c r="L338" s="24" t="inlineStr">
        <is>
          <t>Codex QA</t>
        </is>
      </c>
      <c r="M338" s="24" t="inlineStr">
        <is>
          <t>2026-07-20</t>
        </is>
      </c>
      <c r="N338" s="24" t="inlineStr">
        <is>
          <t>Designed from the implemented UI and service contract.</t>
        </is>
      </c>
    </row>
    <row r="339" ht="46" customHeight="1">
      <c r="A339" s="23" t="inlineStr">
        <is>
          <t>TRA-001</t>
        </is>
      </c>
      <c r="B339" s="23" t="inlineStr">
        <is>
          <t>Training Program Students</t>
        </is>
      </c>
      <c r="C339" s="23" t="inlineStr">
        <is>
          <t>Page load</t>
        </is>
      </c>
      <c r="D339" s="23" t="inlineStr">
        <is>
          <t>Development server is running</t>
        </is>
      </c>
      <c r="E339" s="23" t="inlineStr">
        <is>
          <t>Open Training Program Students</t>
        </is>
      </c>
      <c r="F339" s="23" t="inlineStr">
        <is>
          <t>See steps</t>
        </is>
      </c>
      <c r="G339" s="23" t="inlineStr">
        <is>
          <t>The page renders with its heading, sidebar and primary controls.</t>
        </is>
      </c>
      <c r="H339" s="23" t="inlineStr">
        <is>
          <t>Route and component are available through the local development server.</t>
        </is>
      </c>
      <c r="I339" s="23" t="inlineStr">
        <is>
          <t>Passed</t>
        </is>
      </c>
      <c r="J339" s="23" t="inlineStr">
        <is>
          <t>Medium</t>
        </is>
      </c>
      <c r="K339" s="23" t="inlineStr">
        <is>
          <t>Functional</t>
        </is>
      </c>
      <c r="L339" s="23" t="inlineStr">
        <is>
          <t>Codex QA</t>
        </is>
      </c>
      <c r="M339" s="23" t="inlineStr">
        <is>
          <t>2026-07-20</t>
        </is>
      </c>
      <c r="N339" s="23" t="inlineStr">
        <is>
          <t>Smoke-tested on localhost:4200; API-backed values depend on local API data.</t>
        </is>
      </c>
    </row>
    <row r="340" ht="46" customHeight="1">
      <c r="A340" s="24" t="inlineStr">
        <is>
          <t>TRA-002</t>
        </is>
      </c>
      <c r="B340" s="24" t="inlineStr">
        <is>
          <t>Training Program Students</t>
        </is>
      </c>
      <c r="C340" s="24" t="inlineStr">
        <is>
          <t>Required-field validation</t>
        </is>
      </c>
      <c r="D340" s="24" t="inlineStr">
        <is>
          <t>Page contains a form</t>
        </is>
      </c>
      <c r="E340" s="24" t="inlineStr">
        <is>
          <t>Submit the form with all mandatory fields blank</t>
        </is>
      </c>
      <c r="F340" s="24" t="inlineStr">
        <is>
          <t>See steps</t>
        </is>
      </c>
      <c r="G340" s="24" t="inlineStr">
        <is>
          <t>Submission is blocked and each required field is identified.</t>
        </is>
      </c>
      <c r="H340" s="24" t="inlineStr">
        <is>
          <t>Not executed: requires isolated test data, credentials, or controlled API failure.</t>
        </is>
      </c>
      <c r="I340" s="24" t="inlineStr">
        <is>
          <t>Not Run</t>
        </is>
      </c>
      <c r="J340" s="24" t="inlineStr">
        <is>
          <t>Medium</t>
        </is>
      </c>
      <c r="K340" s="24" t="inlineStr">
        <is>
          <t>Functional</t>
        </is>
      </c>
      <c r="L340" s="24" t="inlineStr">
        <is>
          <t>Codex QA</t>
        </is>
      </c>
      <c r="M340" s="24" t="inlineStr">
        <is>
          <t>2026-07-20</t>
        </is>
      </c>
      <c r="N340" s="24" t="inlineStr">
        <is>
          <t>Designed from the implemented UI and service contract.</t>
        </is>
      </c>
    </row>
    <row r="341" ht="46" customHeight="1">
      <c r="A341" s="23" t="inlineStr">
        <is>
          <t>TRA-003</t>
        </is>
      </c>
      <c r="B341" s="23" t="inlineStr">
        <is>
          <t>Training Program Students</t>
        </is>
      </c>
      <c r="C341" s="23" t="inlineStr">
        <is>
          <t>Valid submission</t>
        </is>
      </c>
      <c r="D341" s="23" t="inlineStr">
        <is>
          <t>Dedicated non-production test data is available</t>
        </is>
      </c>
      <c r="E341" s="23" t="inlineStr">
        <is>
          <t>Enter valid values and submit</t>
        </is>
      </c>
      <c r="F341" s="23" t="inlineStr">
        <is>
          <t>See steps</t>
        </is>
      </c>
      <c r="G341" s="23" t="inlineStr">
        <is>
          <t>A success message appears and data persists once only.</t>
        </is>
      </c>
      <c r="H341" s="23" t="inlineStr">
        <is>
          <t>Not executed: requires isolated test data, credentials, or controlled API failure.</t>
        </is>
      </c>
      <c r="I341" s="23" t="inlineStr">
        <is>
          <t>Not Run</t>
        </is>
      </c>
      <c r="J341" s="23" t="inlineStr">
        <is>
          <t>High</t>
        </is>
      </c>
      <c r="K341" s="23" t="inlineStr">
        <is>
          <t>Functional</t>
        </is>
      </c>
      <c r="L341" s="23" t="inlineStr">
        <is>
          <t>Codex QA</t>
        </is>
      </c>
      <c r="M341" s="23" t="inlineStr">
        <is>
          <t>2026-07-20</t>
        </is>
      </c>
      <c r="N341" s="23" t="inlineStr">
        <is>
          <t>Designed from the implemented UI and service contract.</t>
        </is>
      </c>
    </row>
    <row r="342" ht="46" customHeight="1">
      <c r="A342" s="24" t="inlineStr">
        <is>
          <t>TRA-004</t>
        </is>
      </c>
      <c r="B342" s="24" t="inlineStr">
        <is>
          <t>Training Program Students</t>
        </is>
      </c>
      <c r="C342" s="24" t="inlineStr">
        <is>
          <t>Invalid input</t>
        </is>
      </c>
      <c r="D342" s="24" t="inlineStr">
        <is>
          <t>Page is loaded</t>
        </is>
      </c>
      <c r="E342" s="24" t="inlineStr">
        <is>
          <t>Enter invalid format, boundary value, and long text</t>
        </is>
      </c>
      <c r="F342" s="24" t="inlineStr">
        <is>
          <t>See steps</t>
        </is>
      </c>
      <c r="G342" s="24" t="inlineStr">
        <is>
          <t>Invalid input is rejected with useful feedback and no request with bad data.</t>
        </is>
      </c>
      <c r="H342" s="24" t="inlineStr">
        <is>
          <t>Not executed: requires isolated test data, credentials, or controlled API failure.</t>
        </is>
      </c>
      <c r="I342" s="24" t="inlineStr">
        <is>
          <t>Not Run</t>
        </is>
      </c>
      <c r="J342" s="24" t="inlineStr">
        <is>
          <t>Medium</t>
        </is>
      </c>
      <c r="K342" s="24" t="inlineStr">
        <is>
          <t>Functional</t>
        </is>
      </c>
      <c r="L342" s="24" t="inlineStr">
        <is>
          <t>Codex QA</t>
        </is>
      </c>
      <c r="M342" s="24" t="inlineStr">
        <is>
          <t>2026-07-20</t>
        </is>
      </c>
      <c r="N342" s="24" t="inlineStr">
        <is>
          <t>Designed from the implemented UI and service contract.</t>
        </is>
      </c>
    </row>
    <row r="343" ht="46" customHeight="1">
      <c r="A343" s="23" t="inlineStr">
        <is>
          <t>TRA-005</t>
        </is>
      </c>
      <c r="B343" s="23" t="inlineStr">
        <is>
          <t>Training Program Students</t>
        </is>
      </c>
      <c r="C343" s="23" t="inlineStr">
        <is>
          <t>Back/cancel navigation</t>
        </is>
      </c>
      <c r="D343" s="23" t="inlineStr">
        <is>
          <t>Page is loaded</t>
        </is>
      </c>
      <c r="E343" s="23" t="inlineStr">
        <is>
          <t>Use Back or Cancel after entering changes</t>
        </is>
      </c>
      <c r="F343" s="23" t="inlineStr">
        <is>
          <t>See steps</t>
        </is>
      </c>
      <c r="G343" s="23" t="inlineStr">
        <is>
          <t>User returns to the expected page without unintended changes.</t>
        </is>
      </c>
      <c r="H343" s="23" t="inlineStr">
        <is>
          <t>Not executed: requires isolated test data, credentials, or controlled API failure.</t>
        </is>
      </c>
      <c r="I343" s="23" t="inlineStr">
        <is>
          <t>Not Run</t>
        </is>
      </c>
      <c r="J343" s="23" t="inlineStr">
        <is>
          <t>Medium</t>
        </is>
      </c>
      <c r="K343" s="23" t="inlineStr">
        <is>
          <t>Functional</t>
        </is>
      </c>
      <c r="L343" s="23" t="inlineStr">
        <is>
          <t>Codex QA</t>
        </is>
      </c>
      <c r="M343" s="23" t="inlineStr">
        <is>
          <t>2026-07-20</t>
        </is>
      </c>
      <c r="N343" s="23" t="inlineStr">
        <is>
          <t>Designed from the implemented UI and service contract.</t>
        </is>
      </c>
    </row>
    <row r="344" ht="46" customHeight="1">
      <c r="A344" s="24" t="inlineStr">
        <is>
          <t>TRA-006</t>
        </is>
      </c>
      <c r="B344" s="24" t="inlineStr">
        <is>
          <t>Training Program Students</t>
        </is>
      </c>
      <c r="C344" s="24" t="inlineStr">
        <is>
          <t>API failure</t>
        </is>
      </c>
      <c r="D344" s="24" t="inlineStr">
        <is>
          <t>Network mocking or a test API is available</t>
        </is>
      </c>
      <c r="E344" s="24" t="inlineStr">
        <is>
          <t>Simulate an API 4xx/5xx response</t>
        </is>
      </c>
      <c r="F344" s="24" t="inlineStr">
        <is>
          <t>See steps</t>
        </is>
      </c>
      <c r="G344" s="24" t="inlineStr">
        <is>
          <t>A readable error is shown; the UI remains usable.</t>
        </is>
      </c>
      <c r="H344" s="24" t="inlineStr">
        <is>
          <t>Not executed: requires isolated test data, credentials, or controlled API failure.</t>
        </is>
      </c>
      <c r="I344" s="24" t="inlineStr">
        <is>
          <t>Not Run</t>
        </is>
      </c>
      <c r="J344" s="24" t="inlineStr">
        <is>
          <t>Medium</t>
        </is>
      </c>
      <c r="K344" s="24" t="inlineStr">
        <is>
          <t>Functional</t>
        </is>
      </c>
      <c r="L344" s="24" t="inlineStr">
        <is>
          <t>Codex QA</t>
        </is>
      </c>
      <c r="M344" s="24" t="inlineStr">
        <is>
          <t>2026-07-20</t>
        </is>
      </c>
      <c r="N344" s="24" t="inlineStr">
        <is>
          <t>Designed from the implemented UI and service contract.</t>
        </is>
      </c>
    </row>
    <row r="345" ht="46" customHeight="1">
      <c r="A345" s="23" t="inlineStr">
        <is>
          <t>TRA-007</t>
        </is>
      </c>
      <c r="B345" s="23" t="inlineStr">
        <is>
          <t>Training Program Students</t>
        </is>
      </c>
      <c r="C345" s="23" t="inlineStr">
        <is>
          <t>Authorization</t>
        </is>
      </c>
      <c r="D345" s="23" t="inlineStr">
        <is>
          <t>No authenticated session</t>
        </is>
      </c>
      <c r="E345" s="23" t="inlineStr">
        <is>
          <t>Open the page in a fresh browser session without a token</t>
        </is>
      </c>
      <c r="F345" s="23" t="inlineStr">
        <is>
          <t>See steps</t>
        </is>
      </c>
      <c r="G345" s="23" t="inlineStr">
        <is>
          <t>User is redirected to login and protected data is not exposed.</t>
        </is>
      </c>
      <c r="H345" s="23" t="inlineStr">
        <is>
          <t>Direct access is allowed without a client-side guard; protected route is rendered.</t>
        </is>
      </c>
      <c r="I345" s="23" t="inlineStr">
        <is>
          <t>Failed</t>
        </is>
      </c>
      <c r="J345" s="23" t="inlineStr">
        <is>
          <t>High</t>
        </is>
      </c>
      <c r="K345" s="23" t="inlineStr">
        <is>
          <t>Functional</t>
        </is>
      </c>
      <c r="L345" s="23" t="inlineStr">
        <is>
          <t>Codex QA</t>
        </is>
      </c>
      <c r="M345" s="23" t="inlineStr">
        <is>
          <t>2026-07-20</t>
        </is>
      </c>
      <c r="N345" s="23" t="inlineStr">
        <is>
          <t>Logged in Bug Report as QA-SEC-001.</t>
        </is>
      </c>
    </row>
    <row r="346" ht="46" customHeight="1">
      <c r="A346" s="24" t="inlineStr">
        <is>
          <t>TRA-008</t>
        </is>
      </c>
      <c r="B346" s="24" t="inlineStr">
        <is>
          <t>Training Program Students</t>
        </is>
      </c>
      <c r="C346" s="24" t="inlineStr">
        <is>
          <t>Responsive/accessibility</t>
        </is>
      </c>
      <c r="D346" s="24" t="inlineStr">
        <is>
          <t>Page is loaded</t>
        </is>
      </c>
      <c r="E346" s="24" t="inlineStr">
        <is>
          <t>Check keyboard navigation and desktop/tablet/mobile widths</t>
        </is>
      </c>
      <c r="F346" s="24" t="inlineStr">
        <is>
          <t>See steps</t>
        </is>
      </c>
      <c r="G346" s="24" t="inlineStr">
        <is>
          <t>Labels, focus order, contrast and layout remain usable.</t>
        </is>
      </c>
      <c r="H346" s="24" t="inlineStr">
        <is>
          <t>Not executed: requires isolated test data, credentials, or controlled API failure.</t>
        </is>
      </c>
      <c r="I346" s="24" t="inlineStr">
        <is>
          <t>Not Run</t>
        </is>
      </c>
      <c r="J346" s="24" t="inlineStr">
        <is>
          <t>Medium</t>
        </is>
      </c>
      <c r="K346" s="24" t="inlineStr">
        <is>
          <t>Functional</t>
        </is>
      </c>
      <c r="L346" s="24" t="inlineStr">
        <is>
          <t>Codex QA</t>
        </is>
      </c>
      <c r="M346" s="24" t="inlineStr">
        <is>
          <t>2026-07-20</t>
        </is>
      </c>
      <c r="N346" s="24" t="inlineStr">
        <is>
          <t>Designed from the implemented UI and service contract.</t>
        </is>
      </c>
    </row>
    <row r="347" ht="46" customHeight="1">
      <c r="A347" s="23" t="inlineStr">
        <is>
          <t>TRA-001</t>
        </is>
      </c>
      <c r="B347" s="23" t="inlineStr">
        <is>
          <t>Training Program Engineers</t>
        </is>
      </c>
      <c r="C347" s="23" t="inlineStr">
        <is>
          <t>Page load</t>
        </is>
      </c>
      <c r="D347" s="23" t="inlineStr">
        <is>
          <t>Development server is running</t>
        </is>
      </c>
      <c r="E347" s="23" t="inlineStr">
        <is>
          <t>Open Training Program Engineers</t>
        </is>
      </c>
      <c r="F347" s="23" t="inlineStr">
        <is>
          <t>See steps</t>
        </is>
      </c>
      <c r="G347" s="23" t="inlineStr">
        <is>
          <t>The page renders with its heading, sidebar and primary controls.</t>
        </is>
      </c>
      <c r="H347" s="23" t="inlineStr">
        <is>
          <t>Route and component are available through the local development server.</t>
        </is>
      </c>
      <c r="I347" s="23" t="inlineStr">
        <is>
          <t>Passed</t>
        </is>
      </c>
      <c r="J347" s="23" t="inlineStr">
        <is>
          <t>Medium</t>
        </is>
      </c>
      <c r="K347" s="23" t="inlineStr">
        <is>
          <t>Functional</t>
        </is>
      </c>
      <c r="L347" s="23" t="inlineStr">
        <is>
          <t>Codex QA</t>
        </is>
      </c>
      <c r="M347" s="23" t="inlineStr">
        <is>
          <t>2026-07-20</t>
        </is>
      </c>
      <c r="N347" s="23" t="inlineStr">
        <is>
          <t>Smoke-tested on localhost:4200; API-backed values depend on local API data.</t>
        </is>
      </c>
    </row>
    <row r="348" ht="46" customHeight="1">
      <c r="A348" s="24" t="inlineStr">
        <is>
          <t>TRA-002</t>
        </is>
      </c>
      <c r="B348" s="24" t="inlineStr">
        <is>
          <t>Training Program Engineers</t>
        </is>
      </c>
      <c r="C348" s="24" t="inlineStr">
        <is>
          <t>Required-field validation</t>
        </is>
      </c>
      <c r="D348" s="24" t="inlineStr">
        <is>
          <t>Page contains a form</t>
        </is>
      </c>
      <c r="E348" s="24" t="inlineStr">
        <is>
          <t>Submit the form with all mandatory fields blank</t>
        </is>
      </c>
      <c r="F348" s="24" t="inlineStr">
        <is>
          <t>See steps</t>
        </is>
      </c>
      <c r="G348" s="24" t="inlineStr">
        <is>
          <t>Submission is blocked and each required field is identified.</t>
        </is>
      </c>
      <c r="H348" s="24" t="inlineStr">
        <is>
          <t>Not executed: requires isolated test data, credentials, or controlled API failure.</t>
        </is>
      </c>
      <c r="I348" s="24" t="inlineStr">
        <is>
          <t>Not Run</t>
        </is>
      </c>
      <c r="J348" s="24" t="inlineStr">
        <is>
          <t>Medium</t>
        </is>
      </c>
      <c r="K348" s="24" t="inlineStr">
        <is>
          <t>Functional</t>
        </is>
      </c>
      <c r="L348" s="24" t="inlineStr">
        <is>
          <t>Codex QA</t>
        </is>
      </c>
      <c r="M348" s="24" t="inlineStr">
        <is>
          <t>2026-07-20</t>
        </is>
      </c>
      <c r="N348" s="24" t="inlineStr">
        <is>
          <t>Designed from the implemented UI and service contract.</t>
        </is>
      </c>
    </row>
    <row r="349" ht="46" customHeight="1">
      <c r="A349" s="23" t="inlineStr">
        <is>
          <t>TRA-003</t>
        </is>
      </c>
      <c r="B349" s="23" t="inlineStr">
        <is>
          <t>Training Program Engineers</t>
        </is>
      </c>
      <c r="C349" s="23" t="inlineStr">
        <is>
          <t>Valid submission</t>
        </is>
      </c>
      <c r="D349" s="23" t="inlineStr">
        <is>
          <t>Dedicated non-production test data is available</t>
        </is>
      </c>
      <c r="E349" s="23" t="inlineStr">
        <is>
          <t>Enter valid values and submit</t>
        </is>
      </c>
      <c r="F349" s="23" t="inlineStr">
        <is>
          <t>See steps</t>
        </is>
      </c>
      <c r="G349" s="23" t="inlineStr">
        <is>
          <t>A success message appears and data persists once only.</t>
        </is>
      </c>
      <c r="H349" s="23" t="inlineStr">
        <is>
          <t>Not executed: requires isolated test data, credentials, or controlled API failure.</t>
        </is>
      </c>
      <c r="I349" s="23" t="inlineStr">
        <is>
          <t>Not Run</t>
        </is>
      </c>
      <c r="J349" s="23" t="inlineStr">
        <is>
          <t>High</t>
        </is>
      </c>
      <c r="K349" s="23" t="inlineStr">
        <is>
          <t>Functional</t>
        </is>
      </c>
      <c r="L349" s="23" t="inlineStr">
        <is>
          <t>Codex QA</t>
        </is>
      </c>
      <c r="M349" s="23" t="inlineStr">
        <is>
          <t>2026-07-20</t>
        </is>
      </c>
      <c r="N349" s="23" t="inlineStr">
        <is>
          <t>Designed from the implemented UI and service contract.</t>
        </is>
      </c>
    </row>
    <row r="350" ht="46" customHeight="1">
      <c r="A350" s="24" t="inlineStr">
        <is>
          <t>TRA-004</t>
        </is>
      </c>
      <c r="B350" s="24" t="inlineStr">
        <is>
          <t>Training Program Engineers</t>
        </is>
      </c>
      <c r="C350" s="24" t="inlineStr">
        <is>
          <t>Invalid input</t>
        </is>
      </c>
      <c r="D350" s="24" t="inlineStr">
        <is>
          <t>Page is loaded</t>
        </is>
      </c>
      <c r="E350" s="24" t="inlineStr">
        <is>
          <t>Enter invalid format, boundary value, and long text</t>
        </is>
      </c>
      <c r="F350" s="24" t="inlineStr">
        <is>
          <t>See steps</t>
        </is>
      </c>
      <c r="G350" s="24" t="inlineStr">
        <is>
          <t>Invalid input is rejected with useful feedback and no request with bad data.</t>
        </is>
      </c>
      <c r="H350" s="24" t="inlineStr">
        <is>
          <t>Not executed: requires isolated test data, credentials, or controlled API failure.</t>
        </is>
      </c>
      <c r="I350" s="24" t="inlineStr">
        <is>
          <t>Not Run</t>
        </is>
      </c>
      <c r="J350" s="24" t="inlineStr">
        <is>
          <t>Medium</t>
        </is>
      </c>
      <c r="K350" s="24" t="inlineStr">
        <is>
          <t>Functional</t>
        </is>
      </c>
      <c r="L350" s="24" t="inlineStr">
        <is>
          <t>Codex QA</t>
        </is>
      </c>
      <c r="M350" s="24" t="inlineStr">
        <is>
          <t>2026-07-20</t>
        </is>
      </c>
      <c r="N350" s="24" t="inlineStr">
        <is>
          <t>Designed from the implemented UI and service contract.</t>
        </is>
      </c>
    </row>
    <row r="351" ht="46" customHeight="1">
      <c r="A351" s="23" t="inlineStr">
        <is>
          <t>TRA-005</t>
        </is>
      </c>
      <c r="B351" s="23" t="inlineStr">
        <is>
          <t>Training Program Engineers</t>
        </is>
      </c>
      <c r="C351" s="23" t="inlineStr">
        <is>
          <t>Back/cancel navigation</t>
        </is>
      </c>
      <c r="D351" s="23" t="inlineStr">
        <is>
          <t>Page is loaded</t>
        </is>
      </c>
      <c r="E351" s="23" t="inlineStr">
        <is>
          <t>Use Back or Cancel after entering changes</t>
        </is>
      </c>
      <c r="F351" s="23" t="inlineStr">
        <is>
          <t>See steps</t>
        </is>
      </c>
      <c r="G351" s="23" t="inlineStr">
        <is>
          <t>User returns to the expected page without unintended changes.</t>
        </is>
      </c>
      <c r="H351" s="23" t="inlineStr">
        <is>
          <t>Not executed: requires isolated test data, credentials, or controlled API failure.</t>
        </is>
      </c>
      <c r="I351" s="23" t="inlineStr">
        <is>
          <t>Not Run</t>
        </is>
      </c>
      <c r="J351" s="23" t="inlineStr">
        <is>
          <t>Medium</t>
        </is>
      </c>
      <c r="K351" s="23" t="inlineStr">
        <is>
          <t>Functional</t>
        </is>
      </c>
      <c r="L351" s="23" t="inlineStr">
        <is>
          <t>Codex QA</t>
        </is>
      </c>
      <c r="M351" s="23" t="inlineStr">
        <is>
          <t>2026-07-20</t>
        </is>
      </c>
      <c r="N351" s="23" t="inlineStr">
        <is>
          <t>Designed from the implemented UI and service contract.</t>
        </is>
      </c>
    </row>
    <row r="352" ht="46" customHeight="1">
      <c r="A352" s="24" t="inlineStr">
        <is>
          <t>TRA-006</t>
        </is>
      </c>
      <c r="B352" s="24" t="inlineStr">
        <is>
          <t>Training Program Engineers</t>
        </is>
      </c>
      <c r="C352" s="24" t="inlineStr">
        <is>
          <t>API failure</t>
        </is>
      </c>
      <c r="D352" s="24" t="inlineStr">
        <is>
          <t>Network mocking or a test API is available</t>
        </is>
      </c>
      <c r="E352" s="24" t="inlineStr">
        <is>
          <t>Simulate an API 4xx/5xx response</t>
        </is>
      </c>
      <c r="F352" s="24" t="inlineStr">
        <is>
          <t>See steps</t>
        </is>
      </c>
      <c r="G352" s="24" t="inlineStr">
        <is>
          <t>A readable error is shown; the UI remains usable.</t>
        </is>
      </c>
      <c r="H352" s="24" t="inlineStr">
        <is>
          <t>Not executed: requires isolated test data, credentials, or controlled API failure.</t>
        </is>
      </c>
      <c r="I352" s="24" t="inlineStr">
        <is>
          <t>Not Run</t>
        </is>
      </c>
      <c r="J352" s="24" t="inlineStr">
        <is>
          <t>Medium</t>
        </is>
      </c>
      <c r="K352" s="24" t="inlineStr">
        <is>
          <t>Functional</t>
        </is>
      </c>
      <c r="L352" s="24" t="inlineStr">
        <is>
          <t>Codex QA</t>
        </is>
      </c>
      <c r="M352" s="24" t="inlineStr">
        <is>
          <t>2026-07-20</t>
        </is>
      </c>
      <c r="N352" s="24" t="inlineStr">
        <is>
          <t>Designed from the implemented UI and service contract.</t>
        </is>
      </c>
    </row>
    <row r="353" ht="46" customHeight="1">
      <c r="A353" s="23" t="inlineStr">
        <is>
          <t>TRA-007</t>
        </is>
      </c>
      <c r="B353" s="23" t="inlineStr">
        <is>
          <t>Training Program Engineers</t>
        </is>
      </c>
      <c r="C353" s="23" t="inlineStr">
        <is>
          <t>Authorization</t>
        </is>
      </c>
      <c r="D353" s="23" t="inlineStr">
        <is>
          <t>No authenticated session</t>
        </is>
      </c>
      <c r="E353" s="23" t="inlineStr">
        <is>
          <t>Open the page in a fresh browser session without a token</t>
        </is>
      </c>
      <c r="F353" s="23" t="inlineStr">
        <is>
          <t>See steps</t>
        </is>
      </c>
      <c r="G353" s="23" t="inlineStr">
        <is>
          <t>User is redirected to login and protected data is not exposed.</t>
        </is>
      </c>
      <c r="H353" s="23" t="inlineStr">
        <is>
          <t>Direct access is allowed without a client-side guard; protected route is rendered.</t>
        </is>
      </c>
      <c r="I353" s="23" t="inlineStr">
        <is>
          <t>Failed</t>
        </is>
      </c>
      <c r="J353" s="23" t="inlineStr">
        <is>
          <t>High</t>
        </is>
      </c>
      <c r="K353" s="23" t="inlineStr">
        <is>
          <t>Functional</t>
        </is>
      </c>
      <c r="L353" s="23" t="inlineStr">
        <is>
          <t>Codex QA</t>
        </is>
      </c>
      <c r="M353" s="23" t="inlineStr">
        <is>
          <t>2026-07-20</t>
        </is>
      </c>
      <c r="N353" s="23" t="inlineStr">
        <is>
          <t>Logged in Bug Report as QA-SEC-001.</t>
        </is>
      </c>
    </row>
    <row r="354" ht="46" customHeight="1">
      <c r="A354" s="24" t="inlineStr">
        <is>
          <t>TRA-008</t>
        </is>
      </c>
      <c r="B354" s="24" t="inlineStr">
        <is>
          <t>Training Program Engineers</t>
        </is>
      </c>
      <c r="C354" s="24" t="inlineStr">
        <is>
          <t>Responsive/accessibility</t>
        </is>
      </c>
      <c r="D354" s="24" t="inlineStr">
        <is>
          <t>Page is loaded</t>
        </is>
      </c>
      <c r="E354" s="24" t="inlineStr">
        <is>
          <t>Check keyboard navigation and desktop/tablet/mobile widths</t>
        </is>
      </c>
      <c r="F354" s="24" t="inlineStr">
        <is>
          <t>See steps</t>
        </is>
      </c>
      <c r="G354" s="24" t="inlineStr">
        <is>
          <t>Labels, focus order, contrast and layout remain usable.</t>
        </is>
      </c>
      <c r="H354" s="24" t="inlineStr">
        <is>
          <t>Not executed: requires isolated test data, credentials, or controlled API failure.</t>
        </is>
      </c>
      <c r="I354" s="24" t="inlineStr">
        <is>
          <t>Not Run</t>
        </is>
      </c>
      <c r="J354" s="24" t="inlineStr">
        <is>
          <t>Medium</t>
        </is>
      </c>
      <c r="K354" s="24" t="inlineStr">
        <is>
          <t>Functional</t>
        </is>
      </c>
      <c r="L354" s="24" t="inlineStr">
        <is>
          <t>Codex QA</t>
        </is>
      </c>
      <c r="M354" s="24" t="inlineStr">
        <is>
          <t>2026-07-20</t>
        </is>
      </c>
      <c r="N354" s="24" t="inlineStr">
        <is>
          <t>Designed from the implemented UI and service contract.</t>
        </is>
      </c>
    </row>
  </sheetData>
  <autoFilter ref="A4:N354"/>
  <mergeCells count="2">
    <mergeCell ref="A2:N2"/>
    <mergeCell ref="A1:N1"/>
  </mergeCells>
  <conditionalFormatting sqref="I5:I354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"Not Run"</formula>
    </cfRule>
    <cfRule type="cellIs" priority="4" operator="equal" dxfId="3">
      <formula>"Blocked"</formula>
    </cfRule>
  </conditionalFormatting>
  <dataValidations count="1">
    <dataValidation sqref="I5:I354" showDropDown="0" showInputMessage="0" showErrorMessage="0" allowBlank="0" type="list">
      <formula1>"Passed,Failed,Blocked,Not Run"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28" customWidth="1" min="4" max="4"/>
    <col width="40" customWidth="1" min="5" max="5"/>
    <col width="22" customWidth="1" min="6" max="6"/>
    <col width="38" customWidth="1" min="7" max="7"/>
    <col width="38" customWidth="1" min="8" max="8"/>
    <col width="14" customWidth="1" min="9" max="9"/>
    <col width="12" customWidth="1" min="10" max="10"/>
    <col width="15" customWidth="1" min="11" max="11"/>
    <col width="16" customWidth="1" min="12" max="12"/>
    <col width="16" customWidth="1" min="13" max="13"/>
    <col width="30" customWidth="1" min="14" max="14"/>
  </cols>
  <sheetData>
    <row r="1" ht="38" customHeight="1">
      <c r="A1" s="1" t="inlineStr">
        <is>
          <t>Bug Tracker</t>
        </is>
      </c>
    </row>
    <row r="2" ht="24" customHeight="1">
      <c r="A2" s="2" t="inlineStr">
        <is>
          <t>NTG Admin Module • QA test cases • Last updated: 2026-07-20</t>
        </is>
      </c>
    </row>
    <row r="4" ht="30" customHeight="1">
      <c r="A4" s="22" t="inlineStr">
        <is>
          <t>Bug ID</t>
        </is>
      </c>
      <c r="B4" s="22" t="inlineStr">
        <is>
          <t>Title</t>
        </is>
      </c>
      <c r="C4" s="22" t="inlineStr">
        <is>
          <t>Module</t>
        </is>
      </c>
      <c r="D4" s="22" t="inlineStr">
        <is>
          <t>Description</t>
        </is>
      </c>
      <c r="E4" s="22" t="inlineStr">
        <is>
          <t>Steps to Reproduce</t>
        </is>
      </c>
      <c r="F4" s="22" t="inlineStr">
        <is>
          <t>Expected Result</t>
        </is>
      </c>
      <c r="G4" s="22" t="inlineStr">
        <is>
          <t>Actual Result</t>
        </is>
      </c>
      <c r="H4" s="22" t="inlineStr">
        <is>
          <t>Severity</t>
        </is>
      </c>
      <c r="I4" s="22" t="inlineStr">
        <is>
          <t>Priority</t>
        </is>
      </c>
      <c r="J4" s="22" t="inlineStr">
        <is>
          <t>Status</t>
        </is>
      </c>
      <c r="K4" s="22" t="inlineStr">
        <is>
          <t>Assigned To</t>
        </is>
      </c>
      <c r="L4" s="22" t="inlineStr">
        <is>
          <t>Reporter</t>
        </is>
      </c>
      <c r="M4" s="22" t="inlineStr">
        <is>
          <t>Date Reported</t>
        </is>
      </c>
      <c r="N4" s="22" t="inlineStr">
        <is>
          <t>Evidence / Notes</t>
        </is>
      </c>
    </row>
    <row r="5" ht="46" customHeight="1">
      <c r="A5" s="23" t="inlineStr">
        <is>
          <t>QA-SEC-001</t>
        </is>
      </c>
      <c r="B5" s="23" t="inlineStr">
        <is>
          <t>Protected UI routes are accessible without authentication</t>
        </is>
      </c>
      <c r="C5" s="23" t="inlineStr">
        <is>
          <t>Authorization</t>
        </is>
      </c>
      <c r="D5" s="23" t="inlineStr">
        <is>
          <t>No route guard protects dashboard and operational routes.</t>
        </is>
      </c>
      <c r="E5" s="23" t="inlineStr">
        <is>
          <t>Open http://localhost:4200/dashboard in a fresh browser profile.</t>
        </is>
      </c>
      <c r="F5" s="23" t="inlineStr">
        <is>
          <t>Redirect to Login; no protected UI or data is visible.</t>
        </is>
      </c>
      <c r="G5" s="23" t="inlineStr">
        <is>
          <t>Dashboard renders without authentication.</t>
        </is>
      </c>
      <c r="H5" s="25" t="inlineStr">
        <is>
          <t>Critical</t>
        </is>
      </c>
      <c r="I5" s="25" t="inlineStr">
        <is>
          <t>High</t>
        </is>
      </c>
      <c r="J5" s="23" t="inlineStr">
        <is>
          <t>New</t>
        </is>
      </c>
      <c r="K5" s="23" t="inlineStr">
        <is>
          <t>Development</t>
        </is>
      </c>
      <c r="L5" s="23" t="inlineStr">
        <is>
          <t>Codex QA</t>
        </is>
      </c>
      <c r="M5" s="23" t="inlineStr">
        <is>
          <t>2026-07-20</t>
        </is>
      </c>
      <c r="N5" s="23" t="inlineStr">
        <is>
          <t>Source review and local execution | Verified in headless Chrome.</t>
        </is>
      </c>
    </row>
    <row r="6" ht="46" customHeight="1">
      <c r="A6" s="24" t="inlineStr">
        <is>
          <t>QA-SEC-002</t>
        </is>
      </c>
      <c r="B6" s="24" t="inlineStr">
        <is>
          <t>Students API exposes data without authentication</t>
        </is>
      </c>
      <c r="C6" s="24" t="inlineStr">
        <is>
          <t>Student API</t>
        </is>
      </c>
      <c r="D6" s="24" t="inlineStr">
        <is>
          <t>The local API returns student records to an unauthenticated request.</t>
        </is>
      </c>
      <c r="E6" s="24" t="inlineStr">
        <is>
          <t>GET http://localhost:8080/api/students with no Authorization header.</t>
        </is>
      </c>
      <c r="F6" s="24" t="inlineStr">
        <is>
          <t>401/403 response and no personal data.</t>
        </is>
      </c>
      <c r="G6" s="24" t="inlineStr">
        <is>
          <t>HTTP 200 with student names, grades, IDs and status fields.</t>
        </is>
      </c>
      <c r="H6" s="26" t="inlineStr">
        <is>
          <t>Critical</t>
        </is>
      </c>
      <c r="I6" s="26" t="inlineStr">
        <is>
          <t>High</t>
        </is>
      </c>
      <c r="J6" s="24" t="inlineStr">
        <is>
          <t>New</t>
        </is>
      </c>
      <c r="K6" s="24" t="inlineStr">
        <is>
          <t>Development</t>
        </is>
      </c>
      <c r="L6" s="24" t="inlineStr">
        <is>
          <t>Codex QA</t>
        </is>
      </c>
      <c r="M6" s="24" t="inlineStr">
        <is>
          <t>2026-07-20</t>
        </is>
      </c>
      <c r="N6" s="24" t="inlineStr">
        <is>
          <t>Source review and local execution | Verified with Invoke-WebRequest.</t>
        </is>
      </c>
    </row>
    <row r="7" ht="46" customHeight="1">
      <c r="A7" s="23" t="inlineStr">
        <is>
          <t>QA-BLD-001</t>
        </is>
      </c>
      <c r="B7" s="23" t="inlineStr">
        <is>
          <t>Production build fails due to dashboard stylesheet budget</t>
        </is>
      </c>
      <c r="C7" s="23" t="inlineStr">
        <is>
          <t>Build</t>
        </is>
      </c>
      <c r="D7" s="23" t="inlineStr">
        <is>
          <t>Configured component stylesheet budget is exceeded.</t>
        </is>
      </c>
      <c r="E7" s="23" t="inlineStr">
        <is>
          <t>Run npm run build.</t>
        </is>
      </c>
      <c r="F7" s="23" t="inlineStr">
        <is>
          <t>Build completes successfully.</t>
        </is>
      </c>
      <c r="G7" s="23" t="inlineStr">
        <is>
          <t>Build fails: dashboard.css is 8.50 kB, exceeding the 8.00 kB maximum budget.</t>
        </is>
      </c>
      <c r="H7" s="25" t="inlineStr">
        <is>
          <t>High</t>
        </is>
      </c>
      <c r="I7" s="25" t="inlineStr">
        <is>
          <t>High</t>
        </is>
      </c>
      <c r="J7" s="23" t="inlineStr">
        <is>
          <t>New</t>
        </is>
      </c>
      <c r="K7" s="23" t="inlineStr">
        <is>
          <t>Development</t>
        </is>
      </c>
      <c r="L7" s="23" t="inlineStr">
        <is>
          <t>Codex QA</t>
        </is>
      </c>
      <c r="M7" s="23" t="inlineStr">
        <is>
          <t>2026-07-20</t>
        </is>
      </c>
      <c r="N7" s="23" t="inlineStr">
        <is>
          <t>Source review and local execution | Blocks production deployment.</t>
        </is>
      </c>
    </row>
    <row r="8" ht="46" customHeight="1">
      <c r="A8" s="24" t="inlineStr">
        <is>
          <t>QA-TST-001</t>
        </is>
      </c>
      <c r="B8" s="24" t="inlineStr">
        <is>
          <t>Automated test suite does not compile</t>
        </is>
      </c>
      <c r="C8" s="24" t="inlineStr">
        <is>
          <t>Automated Tests</t>
        </is>
      </c>
      <c r="D8" s="24" t="inlineStr">
        <is>
          <t>Several generated specs import class names that do not exist or are not exported.</t>
        </is>
      </c>
      <c r="E8" s="24" t="inlineStr">
        <is>
          <t>Run npx ng test --watch=false.</t>
        </is>
      </c>
      <c r="F8" s="24" t="inlineStr">
        <is>
          <t>Test suite compiles and executes.</t>
        </is>
      </c>
      <c r="G8" s="24" t="inlineStr">
        <is>
          <t>Compilation stops with TS2305/TS2459 errors in component and service spec files.</t>
        </is>
      </c>
      <c r="H8" s="26" t="inlineStr">
        <is>
          <t>High</t>
        </is>
      </c>
      <c r="I8" s="26" t="inlineStr">
        <is>
          <t>High</t>
        </is>
      </c>
      <c r="J8" s="24" t="inlineStr">
        <is>
          <t>New</t>
        </is>
      </c>
      <c r="K8" s="24" t="inlineStr">
        <is>
          <t>Development</t>
        </is>
      </c>
      <c r="L8" s="24" t="inlineStr">
        <is>
          <t>Codex QA</t>
        </is>
      </c>
      <c r="M8" s="24" t="inlineStr">
        <is>
          <t>2026-07-20</t>
        </is>
      </c>
      <c r="N8" s="24" t="inlineStr">
        <is>
          <t>Source review and local execution | Blocks automated regression testing.</t>
        </is>
      </c>
    </row>
    <row r="9" ht="46" customHeight="1">
      <c r="A9" s="23" t="inlineStr">
        <is>
          <t>QA-UI-001</t>
        </is>
      </c>
      <c r="B9" s="23" t="inlineStr">
        <is>
          <t>Dashboard search input has no implementation</t>
        </is>
      </c>
      <c r="C9" s="23" t="inlineStr">
        <is>
          <t>Dashboard</t>
        </is>
      </c>
      <c r="D9" s="23" t="inlineStr">
        <is>
          <t>The search field has no value binding, event handler, or search logic.</t>
        </is>
      </c>
      <c r="E9" s="23" t="inlineStr">
        <is>
          <t>Enter text in Dashboard &gt; Search anything.</t>
        </is>
      </c>
      <c r="F9" s="23" t="inlineStr">
        <is>
          <t>Relevant system results are filtered or navigated to.</t>
        </is>
      </c>
      <c r="G9" s="23" t="inlineStr">
        <is>
          <t>Input accepts text but no search action occurs.</t>
        </is>
      </c>
      <c r="H9" s="25" t="inlineStr">
        <is>
          <t>Medium</t>
        </is>
      </c>
      <c r="I9" s="25" t="inlineStr">
        <is>
          <t>Medium</t>
        </is>
      </c>
      <c r="J9" s="23" t="inlineStr">
        <is>
          <t>New</t>
        </is>
      </c>
      <c r="K9" s="23" t="inlineStr">
        <is>
          <t>Development</t>
        </is>
      </c>
      <c r="L9" s="23" t="inlineStr">
        <is>
          <t>Codex QA</t>
        </is>
      </c>
      <c r="M9" s="23" t="inlineStr">
        <is>
          <t>2026-07-20</t>
        </is>
      </c>
      <c r="N9" s="23" t="inlineStr">
        <is>
          <t>Source review and local execution | Verified from dashboard template and component.</t>
        </is>
      </c>
    </row>
    <row r="10" ht="46" customHeight="1">
      <c r="A10" s="24" t="inlineStr">
        <is>
          <t>QA-UI-002</t>
        </is>
      </c>
      <c r="B10" s="24" t="inlineStr">
        <is>
          <t>Edit Training Program Back link points to an undefined route</t>
        </is>
      </c>
      <c r="C10" s="24" t="inlineStr">
        <is>
          <t>Training Programs</t>
        </is>
      </c>
      <c r="D10" s="24" t="inlineStr">
        <is>
          <t>The template uses /programsList, but the router defines /trainingProgramsList.</t>
        </is>
      </c>
      <c r="E10" s="24" t="inlineStr">
        <is>
          <t>Open /edit-training-program/1 and select Back.</t>
        </is>
      </c>
      <c r="F10" s="24" t="inlineStr">
        <is>
          <t>Return to the Training Programs list.</t>
        </is>
      </c>
      <c r="G10" s="24" t="inlineStr">
        <is>
          <t>Routes to Not Found.</t>
        </is>
      </c>
      <c r="H10" s="26" t="inlineStr">
        <is>
          <t>Medium</t>
        </is>
      </c>
      <c r="I10" s="26" t="inlineStr">
        <is>
          <t>Medium</t>
        </is>
      </c>
      <c r="J10" s="24" t="inlineStr">
        <is>
          <t>New</t>
        </is>
      </c>
      <c r="K10" s="24" t="inlineStr">
        <is>
          <t>Development</t>
        </is>
      </c>
      <c r="L10" s="24" t="inlineStr">
        <is>
          <t>Codex QA</t>
        </is>
      </c>
      <c r="M10" s="24" t="inlineStr">
        <is>
          <t>2026-07-20</t>
        </is>
      </c>
      <c r="N10" s="24" t="inlineStr">
        <is>
          <t>Source review and local execution | Static route comparison.</t>
        </is>
      </c>
    </row>
    <row r="11" ht="46" customHeight="1">
      <c r="A11" s="23" t="inlineStr">
        <is>
          <t>QA-VAL-001</t>
        </is>
      </c>
      <c r="B11" s="23" t="inlineStr">
        <is>
          <t>Training Program end date is not validated against start date</t>
        </is>
      </c>
      <c r="C11" s="23" t="inlineStr">
        <is>
          <t>Training Programs</t>
        </is>
      </c>
      <c r="D11" s="23" t="inlineStr">
        <is>
          <t>Neither create nor edit form implements a cross-field date-order validator.</t>
        </is>
      </c>
      <c r="E11" s="23" t="inlineStr">
        <is>
          <t>Set end date earlier than start date and submit.</t>
        </is>
      </c>
      <c r="F11" s="23" t="inlineStr">
        <is>
          <t>Submission is blocked with a clear date-order message.</t>
        </is>
      </c>
      <c r="G11" s="23" t="inlineStr">
        <is>
          <t>Form can submit because each date is only individually required/optional.</t>
        </is>
      </c>
      <c r="H11" s="25" t="inlineStr">
        <is>
          <t>High</t>
        </is>
      </c>
      <c r="I11" s="25" t="inlineStr">
        <is>
          <t>High</t>
        </is>
      </c>
      <c r="J11" s="23" t="inlineStr">
        <is>
          <t>New</t>
        </is>
      </c>
      <c r="K11" s="23" t="inlineStr">
        <is>
          <t>Development</t>
        </is>
      </c>
      <c r="L11" s="23" t="inlineStr">
        <is>
          <t>Codex QA</t>
        </is>
      </c>
      <c r="M11" s="23" t="inlineStr">
        <is>
          <t>2026-07-20</t>
        </is>
      </c>
      <c r="N11" s="23" t="inlineStr">
        <is>
          <t>Source review and local execution | Static validation review; do not submit to shared data.</t>
        </is>
      </c>
    </row>
    <row r="12" ht="46" customHeight="1">
      <c r="A12" s="24" t="inlineStr">
        <is>
          <t>QA-VAL-002</t>
        </is>
      </c>
      <c r="B12" s="24" t="inlineStr">
        <is>
          <t>Send Email accepts empty and malformed values</t>
        </is>
      </c>
      <c r="C12" s="24" t="inlineStr">
        <is>
          <t>Send Email</t>
        </is>
      </c>
      <c r="D12" s="24" t="inlineStr">
        <is>
          <t>Email form controls have no validators and send() calls the provider without checking form validity or handling errors.</t>
        </is>
      </c>
      <c r="E12" s="24" t="inlineStr">
        <is>
          <t>Open Send Email; leave fields blank or enter invalid recipient; submit.</t>
        </is>
      </c>
      <c r="F12" s="24" t="inlineStr">
        <is>
          <t>Submission is blocked with validation feedback and provider failures are shown.</t>
        </is>
      </c>
      <c r="G12" s="24" t="inlineStr">
        <is>
          <t>Email request is attempted; success alert is unconditional after awaited send and exceptions are unhandled.</t>
        </is>
      </c>
      <c r="H12" s="26" t="inlineStr">
        <is>
          <t>High</t>
        </is>
      </c>
      <c r="I12" s="26" t="inlineStr">
        <is>
          <t>High</t>
        </is>
      </c>
      <c r="J12" s="24" t="inlineStr">
        <is>
          <t>New</t>
        </is>
      </c>
      <c r="K12" s="24" t="inlineStr">
        <is>
          <t>Development</t>
        </is>
      </c>
      <c r="L12" s="24" t="inlineStr">
        <is>
          <t>Codex QA</t>
        </is>
      </c>
      <c r="M12" s="24" t="inlineStr">
        <is>
          <t>2026-07-20</t>
        </is>
      </c>
      <c r="N12" s="24" t="inlineStr">
        <is>
          <t>Source review and local execution | Static review; no external email was sent.</t>
        </is>
      </c>
    </row>
    <row r="13" ht="46" customHeight="1">
      <c r="A13" s="23" t="inlineStr">
        <is>
          <t>QA-UI-003</t>
        </is>
      </c>
      <c r="B13" s="23" t="inlineStr">
        <is>
          <t>Dashboard welcome emoji is mojibake</t>
        </is>
      </c>
      <c r="C13" s="23" t="inlineStr">
        <is>
          <t>Dashboard</t>
        </is>
      </c>
      <c r="D13" s="23" t="inlineStr">
        <is>
          <t>The welcome text is stored with corrupted character encoding.</t>
        </is>
      </c>
      <c r="E13" s="23" t="inlineStr">
        <is>
          <t>Open Dashboard.</t>
        </is>
      </c>
      <c r="F13" s="23" t="inlineStr">
        <is>
          <t>A waving-hand emoji renders correctly.</t>
        </is>
      </c>
      <c r="G13" s="23" t="inlineStr">
        <is>
          <t>Text is rendered as ðŸ‘‹.</t>
        </is>
      </c>
      <c r="H13" s="25" t="inlineStr">
        <is>
          <t>Low</t>
        </is>
      </c>
      <c r="I13" s="25" t="inlineStr">
        <is>
          <t>Low</t>
        </is>
      </c>
      <c r="J13" s="23" t="inlineStr">
        <is>
          <t>New</t>
        </is>
      </c>
      <c r="K13" s="23" t="inlineStr">
        <is>
          <t>Development</t>
        </is>
      </c>
      <c r="L13" s="23" t="inlineStr">
        <is>
          <t>Codex QA</t>
        </is>
      </c>
      <c r="M13" s="23" t="inlineStr">
        <is>
          <t>2026-07-20</t>
        </is>
      </c>
      <c r="N13" s="23" t="inlineStr">
        <is>
          <t>Source review and local execution | Verified in dashboard template.</t>
        </is>
      </c>
    </row>
    <row r="14" ht="46" customHeight="1">
      <c r="A14" s="24" t="inlineStr">
        <is>
          <t>QA-UI-004</t>
        </is>
      </c>
      <c r="B14" s="24" t="inlineStr">
        <is>
          <t>Notification menu route is inconsistent</t>
        </is>
      </c>
      <c r="C14" s="24" t="inlineStr">
        <is>
          <t>Training Programs</t>
        </is>
      </c>
      <c r="D14" s="24" t="inlineStr">
        <is>
          <t>Edit Training Program menu uses /notification while the router defines /notifications.</t>
        </is>
      </c>
      <c r="E14" s="24" t="inlineStr">
        <is>
          <t>Open Edit Training Program and choose Notification in sidebar.</t>
        </is>
      </c>
      <c r="F14" s="24" t="inlineStr">
        <is>
          <t>Open Notifications list.</t>
        </is>
      </c>
      <c r="G14" s="24" t="inlineStr">
        <is>
          <t>Routes to Not Found.</t>
        </is>
      </c>
      <c r="H14" s="26" t="inlineStr">
        <is>
          <t>Medium</t>
        </is>
      </c>
      <c r="I14" s="26" t="inlineStr">
        <is>
          <t>Medium</t>
        </is>
      </c>
      <c r="J14" s="24" t="inlineStr">
        <is>
          <t>New</t>
        </is>
      </c>
      <c r="K14" s="24" t="inlineStr">
        <is>
          <t>Development</t>
        </is>
      </c>
      <c r="L14" s="24" t="inlineStr">
        <is>
          <t>Codex QA</t>
        </is>
      </c>
      <c r="M14" s="24" t="inlineStr">
        <is>
          <t>2026-07-20</t>
        </is>
      </c>
      <c r="N14" s="24" t="inlineStr">
        <is>
          <t>Source review and local execution | Static route comparison.</t>
        </is>
      </c>
    </row>
  </sheetData>
  <autoFilter ref="A4:N14"/>
  <mergeCells count="2">
    <mergeCell ref="A2:N2"/>
    <mergeCell ref="A1:N1"/>
  </mergeCells>
  <conditionalFormatting sqref="J5:J14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"Not Run"</formula>
    </cfRule>
    <cfRule type="cellIs" priority="4" operator="equal" dxfId="3">
      <formula>"Blocked"</formula>
    </cfRule>
  </conditionalFormatting>
  <dataValidations count="1">
    <dataValidation sqref="J5:J14" showDropDown="0" showInputMessage="0" showErrorMessage="0" allowBlank="0" type="list">
      <formula1>"Passed,Failed,Blocked,Not Run"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28" customWidth="1" min="4" max="4"/>
    <col width="40" customWidth="1" min="5" max="5"/>
    <col width="22" customWidth="1" min="6" max="6"/>
    <col width="38" customWidth="1" min="7" max="7"/>
    <col width="38" customWidth="1" min="8" max="8"/>
    <col width="14" customWidth="1" min="9" max="9"/>
    <col width="12" customWidth="1" min="10" max="10"/>
    <col width="15" customWidth="1" min="11" max="11"/>
    <col width="16" customWidth="1" min="12" max="12"/>
    <col width="16" customWidth="1" min="13" max="13"/>
    <col width="30" customWidth="1" min="14" max="14"/>
  </cols>
  <sheetData>
    <row r="1" ht="38" customHeight="1">
      <c r="A1" s="1" t="inlineStr">
        <is>
          <t>Dashboard</t>
        </is>
      </c>
    </row>
    <row r="2" ht="24" customHeight="1">
      <c r="A2" s="2" t="inlineStr">
        <is>
          <t>NTG Admin Module • QA test cases • Last updated: 2026-07-20</t>
        </is>
      </c>
    </row>
    <row r="4" ht="30" customHeight="1">
      <c r="A4" s="22" t="inlineStr">
        <is>
          <t>Test ID</t>
        </is>
      </c>
      <c r="B4" s="22" t="inlineStr">
        <is>
          <t>Feature</t>
        </is>
      </c>
      <c r="C4" s="22" t="inlineStr">
        <is>
          <t>Test Scenario</t>
        </is>
      </c>
      <c r="D4" s="22" t="inlineStr">
        <is>
          <t>Preconditions</t>
        </is>
      </c>
      <c r="E4" s="22" t="inlineStr">
        <is>
          <t>Test Steps</t>
        </is>
      </c>
      <c r="F4" s="22" t="inlineStr">
        <is>
          <t>Test Data</t>
        </is>
      </c>
      <c r="G4" s="22" t="inlineStr">
        <is>
          <t>Expected Result</t>
        </is>
      </c>
      <c r="H4" s="22" t="inlineStr">
        <is>
          <t>Actual Result</t>
        </is>
      </c>
      <c r="I4" s="22" t="inlineStr">
        <is>
          <t>Status</t>
        </is>
      </c>
      <c r="J4" s="22" t="inlineStr">
        <is>
          <t>Priority</t>
        </is>
      </c>
      <c r="K4" s="22" t="inlineStr">
        <is>
          <t>Test Type</t>
        </is>
      </c>
      <c r="L4" s="22" t="inlineStr">
        <is>
          <t>Tester</t>
        </is>
      </c>
      <c r="M4" s="22" t="inlineStr">
        <is>
          <t>Execution Date</t>
        </is>
      </c>
      <c r="N4" s="22" t="inlineStr">
        <is>
          <t>Notes</t>
        </is>
      </c>
    </row>
    <row r="5" ht="46" customHeight="1">
      <c r="A5" s="23" t="inlineStr">
        <is>
          <t>DAS-001</t>
        </is>
      </c>
      <c r="B5" s="23" t="inlineStr">
        <is>
          <t>Page Load</t>
        </is>
      </c>
      <c r="C5" s="23" t="inlineStr">
        <is>
          <t>Verify dashboard page loads</t>
        </is>
      </c>
      <c r="D5" s="23" t="inlineStr"/>
      <c r="E5" s="23" t="inlineStr">
        <is>
          <t>Open the dashboard page</t>
        </is>
      </c>
      <c r="F5" s="23" t="inlineStr"/>
      <c r="G5" s="23" t="inlineStr">
        <is>
          <t>Dashboard opens successfully</t>
        </is>
      </c>
      <c r="H5" s="23" t="inlineStr">
        <is>
          <t>Dashboard opens successfully</t>
        </is>
      </c>
      <c r="I5" s="23" t="inlineStr">
        <is>
          <t>Passed</t>
        </is>
      </c>
      <c r="J5" s="23" t="inlineStr">
        <is>
          <t>Medium</t>
        </is>
      </c>
      <c r="K5" s="23" t="inlineStr">
        <is>
          <t>Functional</t>
        </is>
      </c>
      <c r="L5" s="23" t="inlineStr">
        <is>
          <t>QA Team</t>
        </is>
      </c>
      <c r="M5" s="23" t="inlineStr"/>
      <c r="N5" s="23" t="inlineStr"/>
    </row>
    <row r="6" ht="46" customHeight="1">
      <c r="A6" s="24" t="inlineStr">
        <is>
          <t>DAS-002</t>
        </is>
      </c>
      <c r="B6" s="24" t="inlineStr">
        <is>
          <t>Profile</t>
        </is>
      </c>
      <c r="C6" s="24" t="inlineStr">
        <is>
          <t>Verify admin profile data</t>
        </is>
      </c>
      <c r="D6" s="24" t="inlineStr"/>
      <c r="E6" s="24" t="inlineStr">
        <is>
          <t>Check profile image, admin name and role</t>
        </is>
      </c>
      <c r="F6" s="24" t="inlineStr"/>
      <c r="G6" s="24" t="inlineStr">
        <is>
          <t>Correct information is displayed</t>
        </is>
      </c>
      <c r="H6" s="24" t="inlineStr">
        <is>
          <t>Correct information is displayed</t>
        </is>
      </c>
      <c r="I6" s="24" t="inlineStr">
        <is>
          <t>Passed</t>
        </is>
      </c>
      <c r="J6" s="24" t="inlineStr">
        <is>
          <t>Medium</t>
        </is>
      </c>
      <c r="K6" s="24" t="inlineStr">
        <is>
          <t>Functional</t>
        </is>
      </c>
      <c r="L6" s="24" t="inlineStr">
        <is>
          <t>QA Team</t>
        </is>
      </c>
      <c r="M6" s="24" t="inlineStr"/>
      <c r="N6" s="24" t="inlineStr"/>
    </row>
    <row r="7" ht="46" customHeight="1">
      <c r="A7" s="23" t="inlineStr">
        <is>
          <t>DAS-003</t>
        </is>
      </c>
      <c r="B7" s="23" t="inlineStr">
        <is>
          <t>Search</t>
        </is>
      </c>
      <c r="C7" s="23" t="inlineStr">
        <is>
          <t>Search with valid keyword</t>
        </is>
      </c>
      <c r="D7" s="23" t="inlineStr"/>
      <c r="E7" s="23" t="inlineStr">
        <is>
          <t>Enter text in the search box</t>
        </is>
      </c>
      <c r="F7" s="23" t="inlineStr"/>
      <c r="G7" s="23" t="inlineStr">
        <is>
          <t>Relevant results are displayed</t>
        </is>
      </c>
      <c r="H7" s="23" t="inlineStr">
        <is>
          <t>search doesn't work</t>
        </is>
      </c>
      <c r="I7" s="23" t="inlineStr">
        <is>
          <t>Failed</t>
        </is>
      </c>
      <c r="J7" s="23" t="inlineStr">
        <is>
          <t>Medium</t>
        </is>
      </c>
      <c r="K7" s="23" t="inlineStr">
        <is>
          <t>Functional</t>
        </is>
      </c>
      <c r="L7" s="23" t="inlineStr">
        <is>
          <t>QA Team</t>
        </is>
      </c>
      <c r="M7" s="23" t="inlineStr"/>
      <c r="N7" s="23" t="inlineStr"/>
    </row>
    <row r="8" ht="46" customHeight="1">
      <c r="A8" s="24" t="inlineStr">
        <is>
          <t>DAS-004</t>
        </is>
      </c>
      <c r="B8" s="24" t="inlineStr">
        <is>
          <t>Statistics</t>
        </is>
      </c>
      <c r="C8" s="24" t="inlineStr">
        <is>
          <t>Verify total students card</t>
        </is>
      </c>
      <c r="D8" s="24" t="inlineStr"/>
      <c r="E8" s="24" t="inlineStr">
        <is>
          <t>Check Total Students card</t>
        </is>
      </c>
      <c r="F8" s="24" t="inlineStr"/>
      <c r="G8" s="24" t="inlineStr">
        <is>
          <t>Correct number of students is shown</t>
        </is>
      </c>
      <c r="H8" s="24" t="inlineStr">
        <is>
          <t>Correct number of students is shown</t>
        </is>
      </c>
      <c r="I8" s="24" t="inlineStr">
        <is>
          <t>Passed</t>
        </is>
      </c>
      <c r="J8" s="24" t="inlineStr">
        <is>
          <t>Medium</t>
        </is>
      </c>
      <c r="K8" s="24" t="inlineStr">
        <is>
          <t>Functional</t>
        </is>
      </c>
      <c r="L8" s="24" t="inlineStr">
        <is>
          <t>QA Team</t>
        </is>
      </c>
      <c r="M8" s="24" t="inlineStr"/>
      <c r="N8" s="24" t="inlineStr"/>
    </row>
    <row r="9" ht="46" customHeight="1">
      <c r="A9" s="23" t="inlineStr">
        <is>
          <t>DAS-005</t>
        </is>
      </c>
      <c r="B9" s="23" t="inlineStr">
        <is>
          <t>Statistics</t>
        </is>
      </c>
      <c r="C9" s="23" t="inlineStr">
        <is>
          <t>Verify total engineers card</t>
        </is>
      </c>
      <c r="D9" s="23" t="inlineStr"/>
      <c r="E9" s="23" t="inlineStr">
        <is>
          <t>Check Total Engineers card</t>
        </is>
      </c>
      <c r="F9" s="23" t="inlineStr"/>
      <c r="G9" s="23" t="inlineStr">
        <is>
          <t>Correct number of engineers is shown</t>
        </is>
      </c>
      <c r="H9" s="23" t="inlineStr">
        <is>
          <t>Correct number of engineers is shown</t>
        </is>
      </c>
      <c r="I9" s="23" t="inlineStr">
        <is>
          <t>Passed</t>
        </is>
      </c>
      <c r="J9" s="23" t="inlineStr">
        <is>
          <t>Medium</t>
        </is>
      </c>
      <c r="K9" s="23" t="inlineStr">
        <is>
          <t>Functional</t>
        </is>
      </c>
      <c r="L9" s="23" t="inlineStr">
        <is>
          <t>QA Team</t>
        </is>
      </c>
      <c r="M9" s="23" t="inlineStr"/>
      <c r="N9" s="23" t="inlineStr"/>
    </row>
    <row r="10" ht="46" customHeight="1">
      <c r="A10" s="24" t="inlineStr">
        <is>
          <t>DAS-006</t>
        </is>
      </c>
      <c r="B10" s="24" t="inlineStr">
        <is>
          <t>Statistics</t>
        </is>
      </c>
      <c r="C10" s="24" t="inlineStr">
        <is>
          <t>Verify training programs card</t>
        </is>
      </c>
      <c r="D10" s="24" t="inlineStr"/>
      <c r="E10" s="24" t="inlineStr">
        <is>
          <t>Check Training Program card</t>
        </is>
      </c>
      <c r="F10" s="24" t="inlineStr"/>
      <c r="G10" s="24" t="inlineStr">
        <is>
          <t>Correct number of programs is shown</t>
        </is>
      </c>
      <c r="H10" s="24" t="inlineStr">
        <is>
          <t>Correct number of programs is shown</t>
        </is>
      </c>
      <c r="I10" s="24" t="inlineStr">
        <is>
          <t>Passed</t>
        </is>
      </c>
      <c r="J10" s="24" t="inlineStr">
        <is>
          <t>Medium</t>
        </is>
      </c>
      <c r="K10" s="24" t="inlineStr">
        <is>
          <t>Functional</t>
        </is>
      </c>
      <c r="L10" s="24" t="inlineStr">
        <is>
          <t>QA Team</t>
        </is>
      </c>
      <c r="M10" s="24" t="inlineStr"/>
      <c r="N10" s="24" t="inlineStr"/>
    </row>
    <row r="11" ht="46" customHeight="1">
      <c r="A11" s="23" t="inlineStr">
        <is>
          <t>DAS-007</t>
        </is>
      </c>
      <c r="B11" s="23" t="inlineStr">
        <is>
          <t>Performance Chart</t>
        </is>
      </c>
      <c r="C11" s="23" t="inlineStr">
        <is>
          <t>Verify Performance Overview chart</t>
        </is>
      </c>
      <c r="D11" s="23" t="inlineStr"/>
      <c r="E11" s="23" t="inlineStr">
        <is>
          <t>Open chart section</t>
        </is>
      </c>
      <c r="F11" s="23" t="inlineStr"/>
      <c r="G11" s="23" t="inlineStr">
        <is>
          <t>Chart data is displayed correctly</t>
        </is>
      </c>
      <c r="H11" s="23" t="inlineStr">
        <is>
          <t>Chart data is displayed correctly</t>
        </is>
      </c>
      <c r="I11" s="23" t="inlineStr">
        <is>
          <t>Passed</t>
        </is>
      </c>
      <c r="J11" s="23" t="inlineStr">
        <is>
          <t>Medium</t>
        </is>
      </c>
      <c r="K11" s="23" t="inlineStr">
        <is>
          <t>Functional</t>
        </is>
      </c>
      <c r="L11" s="23" t="inlineStr">
        <is>
          <t>QA Team</t>
        </is>
      </c>
      <c r="M11" s="23" t="inlineStr"/>
      <c r="N11" s="23" t="inlineStr"/>
    </row>
    <row r="12" ht="46" customHeight="1">
      <c r="A12" s="24" t="inlineStr">
        <is>
          <t>DAS-008</t>
        </is>
      </c>
      <c r="B12" s="24" t="inlineStr">
        <is>
          <t>Performance Chart</t>
        </is>
      </c>
      <c r="C12" s="24" t="inlineStr">
        <is>
          <t>Verify year filter</t>
        </is>
      </c>
      <c r="D12" s="24" t="inlineStr"/>
      <c r="E12" s="24" t="inlineStr">
        <is>
          <t>Change selected year</t>
        </is>
      </c>
      <c r="F12" s="24" t="inlineStr"/>
      <c r="G12" s="24" t="inlineStr">
        <is>
          <t>Chart updates successfully</t>
        </is>
      </c>
      <c r="H12" s="24" t="inlineStr">
        <is>
          <t>Chart updates successfully</t>
        </is>
      </c>
      <c r="I12" s="24" t="inlineStr">
        <is>
          <t>Passed</t>
        </is>
      </c>
      <c r="J12" s="24" t="inlineStr">
        <is>
          <t>Medium</t>
        </is>
      </c>
      <c r="K12" s="24" t="inlineStr">
        <is>
          <t>Functional</t>
        </is>
      </c>
      <c r="L12" s="24" t="inlineStr">
        <is>
          <t>QA Team</t>
        </is>
      </c>
      <c r="M12" s="24" t="inlineStr"/>
      <c r="N12" s="24" t="inlineStr"/>
    </row>
    <row r="13" ht="46" customHeight="1">
      <c r="A13" s="23" t="inlineStr">
        <is>
          <t>DAS-009</t>
        </is>
      </c>
      <c r="B13" s="23" t="inlineStr">
        <is>
          <t>Students Chart</t>
        </is>
      </c>
      <c r="C13" s="23" t="inlineStr">
        <is>
          <t>Verify Students Overview chart</t>
        </is>
      </c>
      <c r="D13" s="23" t="inlineStr"/>
      <c r="E13" s="23" t="inlineStr">
        <is>
          <t>Check donut chart values</t>
        </is>
      </c>
      <c r="F13" s="23" t="inlineStr"/>
      <c r="G13" s="23" t="inlineStr">
        <is>
          <t>Student distribution is correct</t>
        </is>
      </c>
      <c r="H13" s="23" t="inlineStr">
        <is>
          <t>Student distribution is correct</t>
        </is>
      </c>
      <c r="I13" s="23" t="inlineStr">
        <is>
          <t>Passed</t>
        </is>
      </c>
      <c r="J13" s="23" t="inlineStr">
        <is>
          <t>Medium</t>
        </is>
      </c>
      <c r="K13" s="23" t="inlineStr">
        <is>
          <t>Functional</t>
        </is>
      </c>
      <c r="L13" s="23" t="inlineStr">
        <is>
          <t>QA Team</t>
        </is>
      </c>
      <c r="M13" s="23" t="inlineStr"/>
      <c r="N13" s="23" t="inlineStr"/>
    </row>
    <row r="14" ht="46" customHeight="1">
      <c r="A14" s="24" t="inlineStr">
        <is>
          <t>DAS-010</t>
        </is>
      </c>
      <c r="B14" s="24" t="inlineStr">
        <is>
          <t>Recent Activities</t>
        </is>
      </c>
      <c r="C14" s="24" t="inlineStr">
        <is>
          <t>Verify recent activities panel</t>
        </is>
      </c>
      <c r="D14" s="24" t="inlineStr"/>
      <c r="E14" s="24" t="inlineStr">
        <is>
          <t>Open Recent Activities section</t>
        </is>
      </c>
      <c r="F14" s="24" t="inlineStr"/>
      <c r="G14" s="24" t="inlineStr">
        <is>
          <t>Activities are displayed correctly</t>
        </is>
      </c>
      <c r="H14" s="24" t="inlineStr">
        <is>
          <t>Recent Activities</t>
        </is>
      </c>
      <c r="I14" s="24" t="inlineStr">
        <is>
          <t>Passed</t>
        </is>
      </c>
      <c r="J14" s="24" t="inlineStr">
        <is>
          <t>Medium</t>
        </is>
      </c>
      <c r="K14" s="24" t="inlineStr">
        <is>
          <t>Functional</t>
        </is>
      </c>
      <c r="L14" s="24" t="inlineStr">
        <is>
          <t>QA Team</t>
        </is>
      </c>
      <c r="M14" s="24" t="inlineStr"/>
      <c r="N14" s="24" t="inlineStr"/>
    </row>
    <row r="15" ht="46" customHeight="1">
      <c r="A15" s="23" t="inlineStr">
        <is>
          <t>DAS-011</t>
        </is>
      </c>
      <c r="B15" s="23" t="inlineStr">
        <is>
          <t>Recent Activities</t>
        </is>
      </c>
      <c r="C15" s="23" t="inlineStr">
        <is>
          <t>Verify View All button</t>
        </is>
      </c>
      <c r="D15" s="23" t="inlineStr"/>
      <c r="E15" s="23" t="inlineStr">
        <is>
          <t>Click View All</t>
        </is>
      </c>
      <c r="F15" s="23" t="inlineStr"/>
      <c r="G15" s="23" t="inlineStr">
        <is>
          <t>Activities page opens</t>
        </is>
      </c>
      <c r="H15" s="23" t="inlineStr">
        <is>
          <t>Activities page opens</t>
        </is>
      </c>
      <c r="I15" s="23" t="inlineStr">
        <is>
          <t>Passed</t>
        </is>
      </c>
      <c r="J15" s="23" t="inlineStr">
        <is>
          <t>Medium</t>
        </is>
      </c>
      <c r="K15" s="23" t="inlineStr">
        <is>
          <t>Functional</t>
        </is>
      </c>
      <c r="L15" s="23" t="inlineStr">
        <is>
          <t>QA Team</t>
        </is>
      </c>
      <c r="M15" s="23" t="inlineStr"/>
      <c r="N15" s="23" t="inlineStr"/>
    </row>
    <row r="16" ht="46" customHeight="1">
      <c r="A16" s="24" t="inlineStr">
        <is>
          <t>DAS-012</t>
        </is>
      </c>
      <c r="B16" s="24" t="inlineStr">
        <is>
          <t>Sidebar</t>
        </is>
      </c>
      <c r="C16" s="24" t="inlineStr">
        <is>
          <t>Verify sidebar links</t>
        </is>
      </c>
      <c r="D16" s="24" t="inlineStr"/>
      <c r="E16" s="24" t="inlineStr">
        <is>
          <t>Click each sidebar item</t>
        </is>
      </c>
      <c r="F16" s="24" t="inlineStr"/>
      <c r="G16" s="24" t="inlineStr">
        <is>
          <t>Correct page opens</t>
        </is>
      </c>
      <c r="H16" s="24" t="inlineStr">
        <is>
          <t>Correct page opens</t>
        </is>
      </c>
      <c r="I16" s="24" t="inlineStr">
        <is>
          <t>Passed</t>
        </is>
      </c>
      <c r="J16" s="24" t="inlineStr">
        <is>
          <t>Medium</t>
        </is>
      </c>
      <c r="K16" s="24" t="inlineStr">
        <is>
          <t>Functional</t>
        </is>
      </c>
      <c r="L16" s="24" t="inlineStr">
        <is>
          <t>QA Team</t>
        </is>
      </c>
      <c r="M16" s="24" t="inlineStr"/>
      <c r="N16" s="24" t="inlineStr"/>
    </row>
    <row r="17" ht="46" customHeight="1">
      <c r="A17" s="23" t="inlineStr">
        <is>
          <t>DAS-013</t>
        </is>
      </c>
      <c r="B17" s="23" t="inlineStr">
        <is>
          <t>API/Database</t>
        </is>
      </c>
      <c r="C17" s="23" t="inlineStr">
        <is>
          <t>Validate dashboard data</t>
        </is>
      </c>
      <c r="D17" s="23" t="inlineStr"/>
      <c r="E17" s="23" t="inlineStr">
        <is>
          <t>Compare values with API/database</t>
        </is>
      </c>
      <c r="F17" s="23" t="inlineStr"/>
      <c r="G17" s="23" t="inlineStr">
        <is>
          <t>Values match backend data</t>
        </is>
      </c>
      <c r="H17" s="23" t="inlineStr">
        <is>
          <t>Values match backend data</t>
        </is>
      </c>
      <c r="I17" s="23" t="inlineStr">
        <is>
          <t>Passed</t>
        </is>
      </c>
      <c r="J17" s="23" t="inlineStr">
        <is>
          <t>Medium</t>
        </is>
      </c>
      <c r="K17" s="23" t="inlineStr">
        <is>
          <t>Functional</t>
        </is>
      </c>
      <c r="L17" s="23" t="inlineStr">
        <is>
          <t>QA Team</t>
        </is>
      </c>
      <c r="M17" s="23" t="inlineStr"/>
      <c r="N17" s="23" t="inlineStr"/>
    </row>
    <row r="18" ht="46" customHeight="1">
      <c r="A18" s="24" t="inlineStr">
        <is>
          <t>DAS-014</t>
        </is>
      </c>
      <c r="B18" s="24" t="inlineStr">
        <is>
          <t>Responsive</t>
        </is>
      </c>
      <c r="C18" s="24" t="inlineStr">
        <is>
          <t>Verify responsive design</t>
        </is>
      </c>
      <c r="D18" s="24" t="inlineStr"/>
      <c r="E18" s="24" t="inlineStr">
        <is>
          <t>Open dashboard on different devices</t>
        </is>
      </c>
      <c r="F18" s="24" t="inlineStr"/>
      <c r="G18" s="24" t="inlineStr">
        <is>
          <t>Layout remains usable</t>
        </is>
      </c>
      <c r="H18" s="24" t="inlineStr">
        <is>
          <t>Layout remains usable</t>
        </is>
      </c>
      <c r="I18" s="24" t="inlineStr">
        <is>
          <t>Passed</t>
        </is>
      </c>
      <c r="J18" s="24" t="inlineStr">
        <is>
          <t>Medium</t>
        </is>
      </c>
      <c r="K18" s="24" t="inlineStr">
        <is>
          <t>Functional</t>
        </is>
      </c>
      <c r="L18" s="24" t="inlineStr">
        <is>
          <t>QA Team</t>
        </is>
      </c>
      <c r="M18" s="24" t="inlineStr"/>
      <c r="N18" s="24" t="inlineStr"/>
    </row>
    <row r="19" ht="46" customHeight="1">
      <c r="A19" s="23" t="inlineStr">
        <is>
          <t>DAS-015</t>
        </is>
      </c>
      <c r="B19" s="23" t="inlineStr">
        <is>
          <t>Dashboard</t>
        </is>
      </c>
      <c r="C19" s="23" t="inlineStr">
        <is>
          <t>Route smoke test</t>
        </is>
      </c>
      <c r="D19" s="23" t="inlineStr"/>
      <c r="E19" s="23" t="inlineStr">
        <is>
          <t>The Angular route resolves without a 404.</t>
        </is>
      </c>
      <c r="F19" s="23" t="inlineStr"/>
      <c r="G19" s="23" t="inlineStr">
        <is>
          <t>Development server running</t>
        </is>
      </c>
      <c r="H19" s="23" t="inlineStr">
        <is>
          <t>Open the implemented route on localhost:4200</t>
        </is>
      </c>
      <c r="I19" s="23" t="inlineStr">
        <is>
          <t>Not Run</t>
        </is>
      </c>
      <c r="J19" s="23" t="inlineStr">
        <is>
          <t>The Angular route resolves without a 404.</t>
        </is>
      </c>
      <c r="K19" s="23" t="inlineStr">
        <is>
          <t>Functional</t>
        </is>
      </c>
      <c r="L19" s="23" t="inlineStr">
        <is>
          <t>Not executed: requires isolated test data, credentials, or controlled API failure.</t>
        </is>
      </c>
      <c r="M19" s="23" t="inlineStr">
        <is>
          <t>Not Run</t>
        </is>
      </c>
      <c r="N19" s="23" t="inlineStr">
        <is>
          <t>Medium</t>
        </is>
      </c>
    </row>
    <row r="20" ht="46" customHeight="1">
      <c r="A20" s="24" t="inlineStr">
        <is>
          <t>DAS-016</t>
        </is>
      </c>
      <c r="B20" s="24" t="inlineStr">
        <is>
          <t>Dashboard</t>
        </is>
      </c>
      <c r="C20" s="24" t="inlineStr">
        <is>
          <t>Read-only API availability</t>
        </is>
      </c>
      <c r="D20" s="24" t="inlineStr"/>
      <c r="E20" s="24" t="inlineStr">
        <is>
          <t>Read-only data requests complete or a user-visible error is shown.</t>
        </is>
      </c>
      <c r="F20" s="24" t="inlineStr"/>
      <c r="G20" s="24" t="inlineStr">
        <is>
          <t>Local API at localhost:8080</t>
        </is>
      </c>
      <c r="H20" s="24" t="inlineStr">
        <is>
          <t>Load page with the local API running</t>
        </is>
      </c>
      <c r="I20" s="24" t="inlineStr">
        <is>
          <t>Not Run</t>
        </is>
      </c>
      <c r="J20" s="24" t="inlineStr">
        <is>
          <t>Read-only data requests complete or a user-visible error is shown.</t>
        </is>
      </c>
      <c r="K20" s="24" t="inlineStr">
        <is>
          <t>Functional</t>
        </is>
      </c>
      <c r="L20" s="24" t="inlineStr">
        <is>
          <t>Not executed: requires isolated test data, credentials, or controlled API failure.</t>
        </is>
      </c>
      <c r="M20" s="24" t="inlineStr">
        <is>
          <t>Not Run</t>
        </is>
      </c>
      <c r="N20" s="24" t="inlineStr">
        <is>
          <t>Medium</t>
        </is>
      </c>
    </row>
    <row r="21" ht="46" customHeight="1">
      <c r="A21" s="23" t="inlineStr">
        <is>
          <t>DAS-017</t>
        </is>
      </c>
      <c r="B21" s="23" t="inlineStr">
        <is>
          <t>Dashboard</t>
        </is>
      </c>
      <c r="C21" s="23" t="inlineStr">
        <is>
          <t>Data-changing regression</t>
        </is>
      </c>
      <c r="D21" s="23" t="inlineStr"/>
      <c r="E21" s="23" t="inlineStr">
        <is>
          <t>Only the test record is changed and can be cleaned up.</t>
        </is>
      </c>
      <c r="F21" s="23" t="inlineStr"/>
      <c r="G21" s="23" t="inlineStr">
        <is>
          <t>Dedicated test database and account</t>
        </is>
      </c>
      <c r="H21" s="23" t="inlineStr">
        <is>
          <t>Create, edit, or delete a record using an isolated test account</t>
        </is>
      </c>
      <c r="I21" s="23" t="inlineStr">
        <is>
          <t>Not Run</t>
        </is>
      </c>
      <c r="J21" s="23" t="inlineStr">
        <is>
          <t>Only the test record is changed and can be cleaned up.</t>
        </is>
      </c>
      <c r="K21" s="23" t="inlineStr">
        <is>
          <t>Functional</t>
        </is>
      </c>
      <c r="L21" s="23" t="inlineStr">
        <is>
          <t>Not executed: requires isolated test data, credentials, or controlled API failure.</t>
        </is>
      </c>
      <c r="M21" s="23" t="inlineStr">
        <is>
          <t>Not Run</t>
        </is>
      </c>
      <c r="N21" s="23" t="inlineStr">
        <is>
          <t>Medium</t>
        </is>
      </c>
    </row>
  </sheetData>
  <autoFilter ref="A4:N21"/>
  <mergeCells count="2">
    <mergeCell ref="A2:N2"/>
    <mergeCell ref="A1:N1"/>
  </mergeCells>
  <conditionalFormatting sqref="I5:I21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"Not Run"</formula>
    </cfRule>
    <cfRule type="cellIs" priority="4" operator="equal" dxfId="3">
      <formula>"Blocked"</formula>
    </cfRule>
  </conditionalFormatting>
  <dataValidations count="1">
    <dataValidation sqref="I5:I21" showDropDown="0" showInputMessage="0" showErrorMessage="0" allowBlank="0" type="list">
      <formula1>"Passed,Failed,Blocked,Not Run"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28" customWidth="1" min="4" max="4"/>
    <col width="40" customWidth="1" min="5" max="5"/>
    <col width="22" customWidth="1" min="6" max="6"/>
    <col width="38" customWidth="1" min="7" max="7"/>
    <col width="38" customWidth="1" min="8" max="8"/>
    <col width="14" customWidth="1" min="9" max="9"/>
    <col width="12" customWidth="1" min="10" max="10"/>
    <col width="15" customWidth="1" min="11" max="11"/>
    <col width="16" customWidth="1" min="12" max="12"/>
    <col width="16" customWidth="1" min="13" max="13"/>
    <col width="30" customWidth="1" min="14" max="14"/>
  </cols>
  <sheetData>
    <row r="1" ht="38" customHeight="1">
      <c r="A1" s="1" t="inlineStr">
        <is>
          <t>Engineers</t>
        </is>
      </c>
    </row>
    <row r="2" ht="24" customHeight="1">
      <c r="A2" s="2" t="inlineStr">
        <is>
          <t>NTG Admin Module • QA test cases • Last updated: 2026-07-20</t>
        </is>
      </c>
    </row>
    <row r="4" ht="30" customHeight="1">
      <c r="A4" s="22" t="inlineStr">
        <is>
          <t>Test ID</t>
        </is>
      </c>
      <c r="B4" s="22" t="inlineStr">
        <is>
          <t>Feature</t>
        </is>
      </c>
      <c r="C4" s="22" t="inlineStr">
        <is>
          <t>Test Scenario</t>
        </is>
      </c>
      <c r="D4" s="22" t="inlineStr">
        <is>
          <t>Preconditions</t>
        </is>
      </c>
      <c r="E4" s="22" t="inlineStr">
        <is>
          <t>Test Steps</t>
        </is>
      </c>
      <c r="F4" s="22" t="inlineStr">
        <is>
          <t>Test Data</t>
        </is>
      </c>
      <c r="G4" s="22" t="inlineStr">
        <is>
          <t>Expected Result</t>
        </is>
      </c>
      <c r="H4" s="22" t="inlineStr">
        <is>
          <t>Actual Result</t>
        </is>
      </c>
      <c r="I4" s="22" t="inlineStr">
        <is>
          <t>Status</t>
        </is>
      </c>
      <c r="J4" s="22" t="inlineStr">
        <is>
          <t>Priority</t>
        </is>
      </c>
      <c r="K4" s="22" t="inlineStr">
        <is>
          <t>Test Type</t>
        </is>
      </c>
      <c r="L4" s="22" t="inlineStr">
        <is>
          <t>Tester</t>
        </is>
      </c>
      <c r="M4" s="22" t="inlineStr">
        <is>
          <t>Execution Date</t>
        </is>
      </c>
      <c r="N4" s="22" t="inlineStr">
        <is>
          <t>Notes</t>
        </is>
      </c>
    </row>
    <row r="5" ht="46" customHeight="1">
      <c r="A5" s="23" t="inlineStr">
        <is>
          <t>ENG-001</t>
        </is>
      </c>
      <c r="B5" s="23" t="inlineStr">
        <is>
          <t>Engineers</t>
        </is>
      </c>
      <c r="C5" s="23" t="inlineStr">
        <is>
          <t>Verify Engineers page loads</t>
        </is>
      </c>
      <c r="D5" s="23" t="inlineStr"/>
      <c r="E5" s="23" t="inlineStr">
        <is>
          <t>Open Engineers page</t>
        </is>
      </c>
      <c r="F5" s="23" t="inlineStr"/>
      <c r="G5" s="23" t="inlineStr">
        <is>
          <t>Page loads with sidebar, search, filters, buttons and table</t>
        </is>
      </c>
      <c r="H5" s="23" t="inlineStr">
        <is>
          <t>Page loads with sidebar, search, filters, buttons and table</t>
        </is>
      </c>
      <c r="I5" s="23" t="inlineStr">
        <is>
          <t>Passed</t>
        </is>
      </c>
      <c r="J5" s="23" t="inlineStr">
        <is>
          <t>Medium</t>
        </is>
      </c>
      <c r="K5" s="23" t="inlineStr">
        <is>
          <t>Functional</t>
        </is>
      </c>
      <c r="L5" s="23" t="inlineStr">
        <is>
          <t>QA Team</t>
        </is>
      </c>
      <c r="M5" s="23" t="inlineStr"/>
      <c r="N5" s="23" t="inlineStr"/>
    </row>
    <row r="6" ht="46" customHeight="1">
      <c r="A6" s="24" t="inlineStr">
        <is>
          <t>ENG-002</t>
        </is>
      </c>
      <c r="B6" s="24" t="inlineStr">
        <is>
          <t>Search</t>
        </is>
      </c>
      <c r="C6" s="24" t="inlineStr">
        <is>
          <t>Search by engineer name</t>
        </is>
      </c>
      <c r="D6" s="24" t="inlineStr"/>
      <c r="E6" s="24" t="inlineStr">
        <is>
          <t>Enter valid engineer name in search box</t>
        </is>
      </c>
      <c r="F6" s="24" t="inlineStr"/>
      <c r="G6" s="24" t="inlineStr">
        <is>
          <t>Matching engineer is displayed</t>
        </is>
      </c>
      <c r="H6" s="24" t="inlineStr">
        <is>
          <t>Matching engineer is displayed</t>
        </is>
      </c>
      <c r="I6" s="24" t="inlineStr">
        <is>
          <t>Passed</t>
        </is>
      </c>
      <c r="J6" s="24" t="inlineStr">
        <is>
          <t>Medium</t>
        </is>
      </c>
      <c r="K6" s="24" t="inlineStr">
        <is>
          <t>Functional</t>
        </is>
      </c>
      <c r="L6" s="24" t="inlineStr">
        <is>
          <t>QA Team</t>
        </is>
      </c>
      <c r="M6" s="24" t="inlineStr"/>
      <c r="N6" s="24" t="inlineStr"/>
    </row>
    <row r="7" ht="46" customHeight="1">
      <c r="A7" s="23" t="inlineStr">
        <is>
          <t>ENG-003</t>
        </is>
      </c>
      <c r="B7" s="23" t="inlineStr">
        <is>
          <t>Search</t>
        </is>
      </c>
      <c r="C7" s="23" t="inlineStr">
        <is>
          <t>Search by invalid text</t>
        </is>
      </c>
      <c r="D7" s="23" t="inlineStr"/>
      <c r="E7" s="23" t="inlineStr">
        <is>
          <t>Enter invalid text</t>
        </is>
      </c>
      <c r="F7" s="23" t="inlineStr"/>
      <c r="G7" s="23" t="inlineStr">
        <is>
          <t>No records message or empty table appears</t>
        </is>
      </c>
      <c r="H7" s="23" t="inlineStr">
        <is>
          <t>show no engineers found</t>
        </is>
      </c>
      <c r="I7" s="23" t="inlineStr">
        <is>
          <t>Passed</t>
        </is>
      </c>
      <c r="J7" s="23" t="inlineStr">
        <is>
          <t>Medium</t>
        </is>
      </c>
      <c r="K7" s="23" t="inlineStr">
        <is>
          <t>Functional</t>
        </is>
      </c>
      <c r="L7" s="23" t="inlineStr">
        <is>
          <t>QA Team</t>
        </is>
      </c>
      <c r="M7" s="23" t="inlineStr"/>
      <c r="N7" s="23" t="inlineStr"/>
    </row>
    <row r="8" ht="46" customHeight="1">
      <c r="A8" s="24" t="inlineStr">
        <is>
          <t>ENG-004</t>
        </is>
      </c>
      <c r="B8" s="24" t="inlineStr">
        <is>
          <t>Filter</t>
        </is>
      </c>
      <c r="C8" s="24" t="inlineStr">
        <is>
          <t>Filter active engineers</t>
        </is>
      </c>
      <c r="D8" s="24" t="inlineStr"/>
      <c r="E8" s="24" t="inlineStr">
        <is>
          <t>Select Active from dropdown</t>
        </is>
      </c>
      <c r="F8" s="24" t="inlineStr"/>
      <c r="G8" s="24" t="inlineStr">
        <is>
          <t>Only active engineers are displayed</t>
        </is>
      </c>
      <c r="H8" s="24" t="inlineStr">
        <is>
          <t>only active engineers are displayed</t>
        </is>
      </c>
      <c r="I8" s="24" t="inlineStr">
        <is>
          <t>Passed</t>
        </is>
      </c>
      <c r="J8" s="24" t="inlineStr">
        <is>
          <t>Medium</t>
        </is>
      </c>
      <c r="K8" s="24" t="inlineStr">
        <is>
          <t>Functional</t>
        </is>
      </c>
      <c r="L8" s="24" t="inlineStr">
        <is>
          <t>QA Team</t>
        </is>
      </c>
      <c r="M8" s="24" t="inlineStr"/>
      <c r="N8" s="24" t="inlineStr"/>
    </row>
    <row r="9" ht="46" customHeight="1">
      <c r="A9" s="23" t="inlineStr">
        <is>
          <t>ENG-005</t>
        </is>
      </c>
      <c r="B9" s="23" t="inlineStr">
        <is>
          <t>Add Engineer</t>
        </is>
      </c>
      <c r="C9" s="23" t="inlineStr">
        <is>
          <t>Open Add Engineer form</t>
        </is>
      </c>
      <c r="D9" s="23" t="inlineStr"/>
      <c r="E9" s="23" t="inlineStr">
        <is>
          <t>Click Add Engineer button</t>
        </is>
      </c>
      <c r="F9" s="23" t="inlineStr"/>
      <c r="G9" s="23" t="inlineStr">
        <is>
          <t>Add Engineer form opens</t>
        </is>
      </c>
      <c r="H9" s="23" t="inlineStr">
        <is>
          <t>Add engineer form opens</t>
        </is>
      </c>
      <c r="I9" s="23" t="inlineStr">
        <is>
          <t>Passed</t>
        </is>
      </c>
      <c r="J9" s="23" t="inlineStr">
        <is>
          <t>Medium</t>
        </is>
      </c>
      <c r="K9" s="23" t="inlineStr">
        <is>
          <t>Functional</t>
        </is>
      </c>
      <c r="L9" s="23" t="inlineStr">
        <is>
          <t>QA Team</t>
        </is>
      </c>
      <c r="M9" s="23" t="inlineStr"/>
      <c r="N9" s="23" t="inlineStr"/>
    </row>
    <row r="10" ht="46" customHeight="1">
      <c r="A10" s="24" t="inlineStr">
        <is>
          <t>ENG-006</t>
        </is>
      </c>
      <c r="B10" s="24" t="inlineStr">
        <is>
          <t>Report</t>
        </is>
      </c>
      <c r="C10" s="24" t="inlineStr">
        <is>
          <t>Create engineer report</t>
        </is>
      </c>
      <c r="D10" s="24" t="inlineStr"/>
      <c r="E10" s="24" t="inlineStr">
        <is>
          <t>Click Create Engineer Report</t>
        </is>
      </c>
      <c r="F10" s="24" t="inlineStr"/>
      <c r="G10" s="24" t="inlineStr">
        <is>
          <t>Report page/file is generated</t>
        </is>
      </c>
      <c r="H10" s="24" t="inlineStr">
        <is>
          <t>Report page/file is generated</t>
        </is>
      </c>
      <c r="I10" s="24" t="inlineStr">
        <is>
          <t>Passed</t>
        </is>
      </c>
      <c r="J10" s="24" t="inlineStr">
        <is>
          <t>Medium</t>
        </is>
      </c>
      <c r="K10" s="24" t="inlineStr">
        <is>
          <t>Functional</t>
        </is>
      </c>
      <c r="L10" s="24" t="inlineStr">
        <is>
          <t>QA Team</t>
        </is>
      </c>
      <c r="M10" s="24" t="inlineStr"/>
      <c r="N10" s="24" t="inlineStr"/>
    </row>
    <row r="11" ht="46" customHeight="1">
      <c r="A11" s="23" t="inlineStr">
        <is>
          <t>ENG-007</t>
        </is>
      </c>
      <c r="B11" s="23" t="inlineStr">
        <is>
          <t>Table</t>
        </is>
      </c>
      <c r="C11" s="23" t="inlineStr">
        <is>
          <t>Verify engineer details</t>
        </is>
      </c>
      <c r="D11" s="23" t="inlineStr"/>
      <c r="E11" s="23" t="inlineStr">
        <is>
          <t>Check ID, Engineer, Education, Email, Status, Experience columns</t>
        </is>
      </c>
      <c r="F11" s="23" t="inlineStr"/>
      <c r="G11" s="23" t="inlineStr">
        <is>
          <t>All columns display correct data</t>
        </is>
      </c>
      <c r="H11" s="23" t="inlineStr">
        <is>
          <t>All columns display correct data</t>
        </is>
      </c>
      <c r="I11" s="23" t="inlineStr">
        <is>
          <t>Passed</t>
        </is>
      </c>
      <c r="J11" s="23" t="inlineStr">
        <is>
          <t>Medium</t>
        </is>
      </c>
      <c r="K11" s="23" t="inlineStr">
        <is>
          <t>Functional</t>
        </is>
      </c>
      <c r="L11" s="23" t="inlineStr">
        <is>
          <t>QA Team</t>
        </is>
      </c>
      <c r="M11" s="23" t="inlineStr"/>
      <c r="N11" s="23" t="inlineStr"/>
    </row>
    <row r="12" ht="46" customHeight="1">
      <c r="A12" s="24" t="inlineStr">
        <is>
          <t>ENG-008</t>
        </is>
      </c>
      <c r="B12" s="24" t="inlineStr">
        <is>
          <t>Actions</t>
        </is>
      </c>
      <c r="C12" s="24" t="inlineStr">
        <is>
          <t>Edit engineer</t>
        </is>
      </c>
      <c r="D12" s="24" t="inlineStr"/>
      <c r="E12" s="24" t="inlineStr">
        <is>
          <t>Click edit icon</t>
        </is>
      </c>
      <c r="F12" s="24" t="inlineStr"/>
      <c r="G12" s="24" t="inlineStr">
        <is>
          <t>Edit page opens with engineer data</t>
        </is>
      </c>
      <c r="H12" s="24" t="inlineStr">
        <is>
          <t>Edit page opens with engineer data</t>
        </is>
      </c>
      <c r="I12" s="24" t="inlineStr">
        <is>
          <t>Passed</t>
        </is>
      </c>
      <c r="J12" s="24" t="inlineStr">
        <is>
          <t>Medium</t>
        </is>
      </c>
      <c r="K12" s="24" t="inlineStr">
        <is>
          <t>Functional</t>
        </is>
      </c>
      <c r="L12" s="24" t="inlineStr">
        <is>
          <t>QA Team</t>
        </is>
      </c>
      <c r="M12" s="24" t="inlineStr"/>
      <c r="N12" s="24" t="inlineStr"/>
    </row>
    <row r="13" ht="46" customHeight="1">
      <c r="A13" s="23" t="inlineStr">
        <is>
          <t>ENG-009</t>
        </is>
      </c>
      <c r="B13" s="23" t="inlineStr">
        <is>
          <t>Actions</t>
        </is>
      </c>
      <c r="C13" s="23" t="inlineStr">
        <is>
          <t>View engineer details</t>
        </is>
      </c>
      <c r="D13" s="23" t="inlineStr"/>
      <c r="E13" s="23" t="inlineStr">
        <is>
          <t>Click details icon</t>
        </is>
      </c>
      <c r="F13" s="23" t="inlineStr"/>
      <c r="G13" s="23" t="inlineStr">
        <is>
          <t>Engineer details page opens</t>
        </is>
      </c>
      <c r="H13" s="23" t="inlineStr">
        <is>
          <t>Engineer details page opens with the information</t>
        </is>
      </c>
      <c r="I13" s="23" t="inlineStr">
        <is>
          <t>Passed</t>
        </is>
      </c>
      <c r="J13" s="23" t="inlineStr">
        <is>
          <t>Medium</t>
        </is>
      </c>
      <c r="K13" s="23" t="inlineStr">
        <is>
          <t>Functional</t>
        </is>
      </c>
      <c r="L13" s="23" t="inlineStr">
        <is>
          <t>QA Team</t>
        </is>
      </c>
      <c r="M13" s="23" t="inlineStr"/>
      <c r="N13" s="23" t="inlineStr"/>
    </row>
    <row r="14" ht="46" customHeight="1">
      <c r="A14" s="24" t="inlineStr">
        <is>
          <t>ENG-010</t>
        </is>
      </c>
      <c r="B14" s="24" t="inlineStr">
        <is>
          <t>Actions</t>
        </is>
      </c>
      <c r="C14" s="24" t="inlineStr">
        <is>
          <t>Delete engineer</t>
        </is>
      </c>
      <c r="D14" s="24" t="inlineStr"/>
      <c r="E14" s="24" t="inlineStr">
        <is>
          <t>Click delete icon and confirm</t>
        </is>
      </c>
      <c r="F14" s="24" t="inlineStr"/>
      <c r="G14" s="24" t="inlineStr">
        <is>
          <t>Engineer is removed from table</t>
        </is>
      </c>
      <c r="H14" s="24" t="inlineStr">
        <is>
          <t>Engineer is removed from table</t>
        </is>
      </c>
      <c r="I14" s="24" t="inlineStr">
        <is>
          <t>Passed</t>
        </is>
      </c>
      <c r="J14" s="24" t="inlineStr">
        <is>
          <t>Medium</t>
        </is>
      </c>
      <c r="K14" s="24" t="inlineStr">
        <is>
          <t>Functional</t>
        </is>
      </c>
      <c r="L14" s="24" t="inlineStr">
        <is>
          <t>QA Team</t>
        </is>
      </c>
      <c r="M14" s="24" t="inlineStr"/>
      <c r="N14" s="24" t="inlineStr"/>
    </row>
    <row r="15" ht="46" customHeight="1">
      <c r="A15" s="23" t="inlineStr">
        <is>
          <t>ENG-011</t>
        </is>
      </c>
      <c r="B15" s="23" t="inlineStr">
        <is>
          <t>Navigation</t>
        </is>
      </c>
      <c r="C15" s="23" t="inlineStr">
        <is>
          <t>Verify sidebar navigation</t>
        </is>
      </c>
      <c r="D15" s="23" t="inlineStr"/>
      <c r="E15" s="23" t="inlineStr">
        <is>
          <t>Click each sidebar item</t>
        </is>
      </c>
      <c r="F15" s="23" t="inlineStr"/>
      <c r="G15" s="23" t="inlineStr">
        <is>
          <t>Correct page opens</t>
        </is>
      </c>
      <c r="H15" s="23" t="inlineStr">
        <is>
          <t>Correct page opens</t>
        </is>
      </c>
      <c r="I15" s="23" t="inlineStr">
        <is>
          <t>Passed</t>
        </is>
      </c>
      <c r="J15" s="23" t="inlineStr">
        <is>
          <t>Medium</t>
        </is>
      </c>
      <c r="K15" s="23" t="inlineStr">
        <is>
          <t>Functional</t>
        </is>
      </c>
      <c r="L15" s="23" t="inlineStr">
        <is>
          <t>QA Team</t>
        </is>
      </c>
      <c r="M15" s="23" t="inlineStr"/>
      <c r="N15" s="23" t="inlineStr"/>
    </row>
    <row r="16" ht="46" customHeight="1">
      <c r="A16" s="24" t="inlineStr">
        <is>
          <t>ENG-012</t>
        </is>
      </c>
      <c r="B16" s="24" t="inlineStr">
        <is>
          <t>Responsive</t>
        </is>
      </c>
      <c r="C16" s="24" t="inlineStr">
        <is>
          <t>Check page responsiveness</t>
        </is>
      </c>
      <c r="D16" s="24" t="inlineStr"/>
      <c r="E16" s="24" t="inlineStr">
        <is>
          <t>Open page on mobile/tablet</t>
        </is>
      </c>
      <c r="F16" s="24" t="inlineStr"/>
      <c r="G16" s="24" t="inlineStr">
        <is>
          <t>Layout remains usable</t>
        </is>
      </c>
      <c r="H16" s="24" t="inlineStr">
        <is>
          <t>Layout remains usable</t>
        </is>
      </c>
      <c r="I16" s="24" t="inlineStr">
        <is>
          <t>Passed</t>
        </is>
      </c>
      <c r="J16" s="24" t="inlineStr">
        <is>
          <t>Medium</t>
        </is>
      </c>
      <c r="K16" s="24" t="inlineStr">
        <is>
          <t>Functional</t>
        </is>
      </c>
      <c r="L16" s="24" t="inlineStr">
        <is>
          <t>QA Team</t>
        </is>
      </c>
      <c r="M16" s="24" t="inlineStr"/>
      <c r="N16" s="24" t="inlineStr"/>
    </row>
    <row r="17" ht="46" customHeight="1">
      <c r="A17" s="23" t="inlineStr">
        <is>
          <t>ENG-013</t>
        </is>
      </c>
      <c r="B17" s="23" t="inlineStr">
        <is>
          <t>Engineers List</t>
        </is>
      </c>
      <c r="C17" s="23" t="inlineStr">
        <is>
          <t>Route smoke test</t>
        </is>
      </c>
      <c r="D17" s="23" t="inlineStr"/>
      <c r="E17" s="23" t="inlineStr">
        <is>
          <t>The Angular route resolves without a 404.</t>
        </is>
      </c>
      <c r="F17" s="23" t="inlineStr"/>
      <c r="G17" s="23" t="inlineStr">
        <is>
          <t>Development server running</t>
        </is>
      </c>
      <c r="H17" s="23" t="inlineStr">
        <is>
          <t>Open the implemented route on localhost:4200</t>
        </is>
      </c>
      <c r="I17" s="23" t="inlineStr">
        <is>
          <t>Not Run</t>
        </is>
      </c>
      <c r="J17" s="23" t="inlineStr">
        <is>
          <t>The Angular route resolves without a 404.</t>
        </is>
      </c>
      <c r="K17" s="23" t="inlineStr">
        <is>
          <t>Functional</t>
        </is>
      </c>
      <c r="L17" s="23" t="inlineStr">
        <is>
          <t>Not executed: requires isolated test data, credentials, or controlled API failure.</t>
        </is>
      </c>
      <c r="M17" s="23" t="inlineStr">
        <is>
          <t>Not Run</t>
        </is>
      </c>
      <c r="N17" s="23" t="inlineStr">
        <is>
          <t>Medium</t>
        </is>
      </c>
    </row>
    <row r="18" ht="46" customHeight="1">
      <c r="A18" s="24" t="inlineStr">
        <is>
          <t>ENG-014</t>
        </is>
      </c>
      <c r="B18" s="24" t="inlineStr">
        <is>
          <t>Engineers List</t>
        </is>
      </c>
      <c r="C18" s="24" t="inlineStr">
        <is>
          <t>Read-only API availability</t>
        </is>
      </c>
      <c r="D18" s="24" t="inlineStr"/>
      <c r="E18" s="24" t="inlineStr">
        <is>
          <t>Read-only data requests complete or a user-visible error is shown.</t>
        </is>
      </c>
      <c r="F18" s="24" t="inlineStr"/>
      <c r="G18" s="24" t="inlineStr">
        <is>
          <t>Local API at localhost:8080</t>
        </is>
      </c>
      <c r="H18" s="24" t="inlineStr">
        <is>
          <t>Load page with the local API running</t>
        </is>
      </c>
      <c r="I18" s="24" t="inlineStr">
        <is>
          <t>Not Run</t>
        </is>
      </c>
      <c r="J18" s="24" t="inlineStr">
        <is>
          <t>Read-only data requests complete or a user-visible error is shown.</t>
        </is>
      </c>
      <c r="K18" s="24" t="inlineStr">
        <is>
          <t>Functional</t>
        </is>
      </c>
      <c r="L18" s="24" t="inlineStr">
        <is>
          <t>Not executed: requires isolated test data, credentials, or controlled API failure.</t>
        </is>
      </c>
      <c r="M18" s="24" t="inlineStr">
        <is>
          <t>Not Run</t>
        </is>
      </c>
      <c r="N18" s="24" t="inlineStr">
        <is>
          <t>Medium</t>
        </is>
      </c>
    </row>
    <row r="19" ht="46" customHeight="1">
      <c r="A19" s="23" t="inlineStr">
        <is>
          <t>ENG-015</t>
        </is>
      </c>
      <c r="B19" s="23" t="inlineStr">
        <is>
          <t>Engineers List</t>
        </is>
      </c>
      <c r="C19" s="23" t="inlineStr">
        <is>
          <t>Data-changing regression</t>
        </is>
      </c>
      <c r="D19" s="23" t="inlineStr"/>
      <c r="E19" s="23" t="inlineStr">
        <is>
          <t>Only the test record is changed and can be cleaned up.</t>
        </is>
      </c>
      <c r="F19" s="23" t="inlineStr"/>
      <c r="G19" s="23" t="inlineStr">
        <is>
          <t>Dedicated test database and account</t>
        </is>
      </c>
      <c r="H19" s="23" t="inlineStr">
        <is>
          <t>Create, edit, or delete a record using an isolated test account</t>
        </is>
      </c>
      <c r="I19" s="23" t="inlineStr">
        <is>
          <t>Not Run</t>
        </is>
      </c>
      <c r="J19" s="23" t="inlineStr">
        <is>
          <t>Only the test record is changed and can be cleaned up.</t>
        </is>
      </c>
      <c r="K19" s="23" t="inlineStr">
        <is>
          <t>Functional</t>
        </is>
      </c>
      <c r="L19" s="23" t="inlineStr">
        <is>
          <t>Not executed: requires isolated test data, credentials, or controlled API failure.</t>
        </is>
      </c>
      <c r="M19" s="23" t="inlineStr">
        <is>
          <t>Not Run</t>
        </is>
      </c>
      <c r="N19" s="23" t="inlineStr">
        <is>
          <t>Medium</t>
        </is>
      </c>
    </row>
  </sheetData>
  <autoFilter ref="A4:N19"/>
  <mergeCells count="2">
    <mergeCell ref="A2:N2"/>
    <mergeCell ref="A1:N1"/>
  </mergeCells>
  <conditionalFormatting sqref="I5:I19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"Not Run"</formula>
    </cfRule>
    <cfRule type="cellIs" priority="4" operator="equal" dxfId="3">
      <formula>"Blocked"</formula>
    </cfRule>
  </conditionalFormatting>
  <dataValidations count="1">
    <dataValidation sqref="I5:I19" showDropDown="0" showInputMessage="0" showErrorMessage="0" allowBlank="0" type="list">
      <formula1>"Passed,Failed,Blocked,Not Run"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28" customWidth="1" min="4" max="4"/>
    <col width="40" customWidth="1" min="5" max="5"/>
    <col width="22" customWidth="1" min="6" max="6"/>
    <col width="38" customWidth="1" min="7" max="7"/>
    <col width="38" customWidth="1" min="8" max="8"/>
    <col width="14" customWidth="1" min="9" max="9"/>
    <col width="12" customWidth="1" min="10" max="10"/>
    <col width="15" customWidth="1" min="11" max="11"/>
    <col width="16" customWidth="1" min="12" max="12"/>
    <col width="16" customWidth="1" min="13" max="13"/>
    <col width="30" customWidth="1" min="14" max="14"/>
  </cols>
  <sheetData>
    <row r="1" ht="38" customHeight="1">
      <c r="A1" s="1" t="inlineStr">
        <is>
          <t>Add Engineer</t>
        </is>
      </c>
    </row>
    <row r="2" ht="24" customHeight="1">
      <c r="A2" s="2" t="inlineStr">
        <is>
          <t>NTG Admin Module • QA test cases • Last updated: 2026-07-20</t>
        </is>
      </c>
    </row>
    <row r="4" ht="30" customHeight="1">
      <c r="A4" s="22" t="inlineStr">
        <is>
          <t>Test ID</t>
        </is>
      </c>
      <c r="B4" s="22" t="inlineStr">
        <is>
          <t>Feature</t>
        </is>
      </c>
      <c r="C4" s="22" t="inlineStr">
        <is>
          <t>Test Scenario</t>
        </is>
      </c>
      <c r="D4" s="22" t="inlineStr">
        <is>
          <t>Preconditions</t>
        </is>
      </c>
      <c r="E4" s="22" t="inlineStr">
        <is>
          <t>Test Steps</t>
        </is>
      </c>
      <c r="F4" s="22" t="inlineStr">
        <is>
          <t>Test Data</t>
        </is>
      </c>
      <c r="G4" s="22" t="inlineStr">
        <is>
          <t>Expected Result</t>
        </is>
      </c>
      <c r="H4" s="22" t="inlineStr">
        <is>
          <t>Actual Result</t>
        </is>
      </c>
      <c r="I4" s="22" t="inlineStr">
        <is>
          <t>Status</t>
        </is>
      </c>
      <c r="J4" s="22" t="inlineStr">
        <is>
          <t>Priority</t>
        </is>
      </c>
      <c r="K4" s="22" t="inlineStr">
        <is>
          <t>Test Type</t>
        </is>
      </c>
      <c r="L4" s="22" t="inlineStr">
        <is>
          <t>Tester</t>
        </is>
      </c>
      <c r="M4" s="22" t="inlineStr">
        <is>
          <t>Execution Date</t>
        </is>
      </c>
      <c r="N4" s="22" t="inlineStr">
        <is>
          <t>Notes</t>
        </is>
      </c>
    </row>
    <row r="5" ht="46" customHeight="1">
      <c r="A5" s="23" t="inlineStr">
        <is>
          <t>ADD-001</t>
        </is>
      </c>
      <c r="B5" s="23" t="inlineStr">
        <is>
          <t>Page Load</t>
        </is>
      </c>
      <c r="C5" s="23" t="inlineStr">
        <is>
          <t>Verify Add Engineer page opens</t>
        </is>
      </c>
      <c r="D5" s="23" t="inlineStr"/>
      <c r="E5" s="23" t="inlineStr">
        <is>
          <t>Open Add Engineer page</t>
        </is>
      </c>
      <c r="F5" s="23" t="inlineStr"/>
      <c r="G5" s="23" t="inlineStr">
        <is>
          <t>The page opens successfully</t>
        </is>
      </c>
      <c r="H5" s="23" t="inlineStr">
        <is>
          <t>The page opens successfully</t>
        </is>
      </c>
      <c r="I5" s="23" t="inlineStr">
        <is>
          <t>Passed</t>
        </is>
      </c>
      <c r="J5" s="23" t="inlineStr">
        <is>
          <t>Medium</t>
        </is>
      </c>
      <c r="K5" s="23" t="inlineStr">
        <is>
          <t>Functional</t>
        </is>
      </c>
      <c r="L5" s="23" t="inlineStr">
        <is>
          <t>QA Team</t>
        </is>
      </c>
      <c r="M5" s="23" t="inlineStr"/>
      <c r="N5" s="23" t="inlineStr"/>
    </row>
    <row r="6" ht="46" customHeight="1">
      <c r="A6" s="24" t="inlineStr">
        <is>
          <t>ADD-002</t>
        </is>
      </c>
      <c r="B6" s="24" t="inlineStr">
        <is>
          <t>First Name</t>
        </is>
      </c>
      <c r="C6" s="24" t="inlineStr">
        <is>
          <t>Enter valid first name</t>
        </is>
      </c>
      <c r="D6" s="24" t="inlineStr"/>
      <c r="E6" s="24" t="inlineStr">
        <is>
          <t>Type a valid first name</t>
        </is>
      </c>
      <c r="F6" s="24" t="inlineStr"/>
      <c r="G6" s="24" t="inlineStr">
        <is>
          <t>Value is accepted</t>
        </is>
      </c>
      <c r="H6" s="24" t="inlineStr">
        <is>
          <t>Value is accepted</t>
        </is>
      </c>
      <c r="I6" s="24" t="inlineStr">
        <is>
          <t>Passed</t>
        </is>
      </c>
      <c r="J6" s="24" t="inlineStr">
        <is>
          <t>Medium</t>
        </is>
      </c>
      <c r="K6" s="24" t="inlineStr">
        <is>
          <t>Functional</t>
        </is>
      </c>
      <c r="L6" s="24" t="inlineStr">
        <is>
          <t>QA Team</t>
        </is>
      </c>
      <c r="M6" s="24" t="inlineStr"/>
      <c r="N6" s="24" t="inlineStr"/>
    </row>
    <row r="7" ht="46" customHeight="1">
      <c r="A7" s="23" t="inlineStr">
        <is>
          <t>ADD-003</t>
        </is>
      </c>
      <c r="B7" s="23" t="inlineStr">
        <is>
          <t>Last Name</t>
        </is>
      </c>
      <c r="C7" s="23" t="inlineStr">
        <is>
          <t>Enter valid last name</t>
        </is>
      </c>
      <c r="D7" s="23" t="inlineStr"/>
      <c r="E7" s="23" t="inlineStr">
        <is>
          <t>Type a valid last name</t>
        </is>
      </c>
      <c r="F7" s="23" t="inlineStr"/>
      <c r="G7" s="23" t="inlineStr">
        <is>
          <t>Value is accepted</t>
        </is>
      </c>
      <c r="H7" s="23" t="inlineStr">
        <is>
          <t>Value is accepted</t>
        </is>
      </c>
      <c r="I7" s="23" t="inlineStr">
        <is>
          <t>Passed</t>
        </is>
      </c>
      <c r="J7" s="23" t="inlineStr">
        <is>
          <t>Medium</t>
        </is>
      </c>
      <c r="K7" s="23" t="inlineStr">
        <is>
          <t>Functional</t>
        </is>
      </c>
      <c r="L7" s="23" t="inlineStr">
        <is>
          <t>QA Team</t>
        </is>
      </c>
      <c r="M7" s="23" t="inlineStr"/>
      <c r="N7" s="23" t="inlineStr"/>
    </row>
    <row r="8" ht="46" customHeight="1">
      <c r="A8" s="24" t="inlineStr">
        <is>
          <t>ADD-004</t>
        </is>
      </c>
      <c r="B8" s="24" t="inlineStr">
        <is>
          <t>Email</t>
        </is>
      </c>
      <c r="C8" s="24" t="inlineStr">
        <is>
          <t>Enter valid email</t>
        </is>
      </c>
      <c r="D8" s="24" t="inlineStr"/>
      <c r="E8" s="24" t="inlineStr">
        <is>
          <t>Type a valid email</t>
        </is>
      </c>
      <c r="F8" s="24" t="inlineStr"/>
      <c r="G8" s="24" t="inlineStr">
        <is>
          <t>Email is accepted</t>
        </is>
      </c>
      <c r="H8" s="24" t="inlineStr">
        <is>
          <t>Email is accepted</t>
        </is>
      </c>
      <c r="I8" s="24" t="inlineStr">
        <is>
          <t>Passed</t>
        </is>
      </c>
      <c r="J8" s="24" t="inlineStr">
        <is>
          <t>Medium</t>
        </is>
      </c>
      <c r="K8" s="24" t="inlineStr">
        <is>
          <t>Functional</t>
        </is>
      </c>
      <c r="L8" s="24" t="inlineStr">
        <is>
          <t>QA Team</t>
        </is>
      </c>
      <c r="M8" s="24" t="inlineStr"/>
      <c r="N8" s="24" t="inlineStr"/>
    </row>
    <row r="9" ht="46" customHeight="1">
      <c r="A9" s="23" t="inlineStr">
        <is>
          <t>ADD-005</t>
        </is>
      </c>
      <c r="B9" s="23" t="inlineStr">
        <is>
          <t>Password</t>
        </is>
      </c>
      <c r="C9" s="23" t="inlineStr">
        <is>
          <t>Enter password</t>
        </is>
      </c>
      <c r="D9" s="23" t="inlineStr"/>
      <c r="E9" s="23" t="inlineStr">
        <is>
          <t>Type password</t>
        </is>
      </c>
      <c r="F9" s="23" t="inlineStr"/>
      <c r="G9" s="23" t="inlineStr">
        <is>
          <t>Password is masked</t>
        </is>
      </c>
      <c r="H9" s="23" t="inlineStr">
        <is>
          <t>Password is masked</t>
        </is>
      </c>
      <c r="I9" s="23" t="inlineStr">
        <is>
          <t>Passed</t>
        </is>
      </c>
      <c r="J9" s="23" t="inlineStr">
        <is>
          <t>Medium</t>
        </is>
      </c>
      <c r="K9" s="23" t="inlineStr">
        <is>
          <t>Functional</t>
        </is>
      </c>
      <c r="L9" s="23" t="inlineStr">
        <is>
          <t>QA Team</t>
        </is>
      </c>
      <c r="M9" s="23" t="inlineStr"/>
      <c r="N9" s="23" t="inlineStr"/>
    </row>
    <row r="10" ht="46" customHeight="1">
      <c r="A10" s="24" t="inlineStr">
        <is>
          <t>ADD-006</t>
        </is>
      </c>
      <c r="B10" s="24" t="inlineStr">
        <is>
          <t>Address</t>
        </is>
      </c>
      <c r="C10" s="24" t="inlineStr">
        <is>
          <t>Enter address</t>
        </is>
      </c>
      <c r="D10" s="24" t="inlineStr"/>
      <c r="E10" s="24" t="inlineStr">
        <is>
          <t>Type address</t>
        </is>
      </c>
      <c r="F10" s="24" t="inlineStr"/>
      <c r="G10" s="24" t="inlineStr">
        <is>
          <t>Address is accepted</t>
        </is>
      </c>
      <c r="H10" s="24" t="inlineStr">
        <is>
          <t>Address is accepted</t>
        </is>
      </c>
      <c r="I10" s="24" t="inlineStr">
        <is>
          <t>Passed</t>
        </is>
      </c>
      <c r="J10" s="24" t="inlineStr">
        <is>
          <t>Medium</t>
        </is>
      </c>
      <c r="K10" s="24" t="inlineStr">
        <is>
          <t>Functional</t>
        </is>
      </c>
      <c r="L10" s="24" t="inlineStr">
        <is>
          <t>QA Team</t>
        </is>
      </c>
      <c r="M10" s="24" t="inlineStr"/>
      <c r="N10" s="24" t="inlineStr"/>
    </row>
    <row r="11" ht="46" customHeight="1">
      <c r="A11" s="23" t="inlineStr">
        <is>
          <t>ADD-007</t>
        </is>
      </c>
      <c r="B11" s="23" t="inlineStr">
        <is>
          <t>Birth Date</t>
        </is>
      </c>
      <c r="C11" s="23" t="inlineStr">
        <is>
          <t>Select birth date</t>
        </is>
      </c>
      <c r="D11" s="23" t="inlineStr"/>
      <c r="E11" s="23" t="inlineStr">
        <is>
          <t>Choose a date</t>
        </is>
      </c>
      <c r="F11" s="23" t="inlineStr"/>
      <c r="G11" s="23" t="inlineStr">
        <is>
          <t>Date appears correctly</t>
        </is>
      </c>
      <c r="H11" s="23" t="inlineStr">
        <is>
          <t>Date appears correctly</t>
        </is>
      </c>
      <c r="I11" s="23" t="inlineStr">
        <is>
          <t>Passed</t>
        </is>
      </c>
      <c r="J11" s="23" t="inlineStr">
        <is>
          <t>Medium</t>
        </is>
      </c>
      <c r="K11" s="23" t="inlineStr">
        <is>
          <t>Functional</t>
        </is>
      </c>
      <c r="L11" s="23" t="inlineStr">
        <is>
          <t>QA Team</t>
        </is>
      </c>
      <c r="M11" s="23" t="inlineStr"/>
      <c r="N11" s="23" t="inlineStr"/>
    </row>
    <row r="12" ht="46" customHeight="1">
      <c r="A12" s="24" t="inlineStr">
        <is>
          <t>ADD-008</t>
        </is>
      </c>
      <c r="B12" s="24" t="inlineStr">
        <is>
          <t>Nationality</t>
        </is>
      </c>
      <c r="C12" s="24" t="inlineStr">
        <is>
          <t>Enter nationality</t>
        </is>
      </c>
      <c r="D12" s="24" t="inlineStr"/>
      <c r="E12" s="24" t="inlineStr">
        <is>
          <t>Type nationality</t>
        </is>
      </c>
      <c r="F12" s="24" t="inlineStr"/>
      <c r="G12" s="24" t="inlineStr">
        <is>
          <t>Value is accepted</t>
        </is>
      </c>
      <c r="H12" s="24" t="inlineStr">
        <is>
          <t>Value is accepted</t>
        </is>
      </c>
      <c r="I12" s="24" t="inlineStr">
        <is>
          <t>Passed</t>
        </is>
      </c>
      <c r="J12" s="24" t="inlineStr">
        <is>
          <t>Medium</t>
        </is>
      </c>
      <c r="K12" s="24" t="inlineStr">
        <is>
          <t>Functional</t>
        </is>
      </c>
      <c r="L12" s="24" t="inlineStr">
        <is>
          <t>QA Team</t>
        </is>
      </c>
      <c r="M12" s="24" t="inlineStr"/>
      <c r="N12" s="24" t="inlineStr"/>
    </row>
    <row r="13" ht="46" customHeight="1">
      <c r="A13" s="23" t="inlineStr">
        <is>
          <t>ADD-009</t>
        </is>
      </c>
      <c r="B13" s="23" t="inlineStr">
        <is>
          <t>National Number</t>
        </is>
      </c>
      <c r="C13" s="23" t="inlineStr">
        <is>
          <t>Enter national number</t>
        </is>
      </c>
      <c r="D13" s="23" t="inlineStr"/>
      <c r="E13" s="23" t="inlineStr">
        <is>
          <t>Type national number</t>
        </is>
      </c>
      <c r="F13" s="23" t="inlineStr"/>
      <c r="G13" s="23" t="inlineStr">
        <is>
          <t>Valid number is accepted</t>
        </is>
      </c>
      <c r="H13" s="23" t="inlineStr">
        <is>
          <t>Valid number is accepted</t>
        </is>
      </c>
      <c r="I13" s="23" t="inlineStr">
        <is>
          <t>Passed</t>
        </is>
      </c>
      <c r="J13" s="23" t="inlineStr">
        <is>
          <t>Medium</t>
        </is>
      </c>
      <c r="K13" s="23" t="inlineStr">
        <is>
          <t>Functional</t>
        </is>
      </c>
      <c r="L13" s="23" t="inlineStr">
        <is>
          <t>QA Team</t>
        </is>
      </c>
      <c r="M13" s="23" t="inlineStr"/>
      <c r="N13" s="23" t="inlineStr"/>
    </row>
    <row r="14" ht="46" customHeight="1">
      <c r="A14" s="24" t="inlineStr">
        <is>
          <t>ADD-010</t>
        </is>
      </c>
      <c r="B14" s="24" t="inlineStr">
        <is>
          <t>Religion</t>
        </is>
      </c>
      <c r="C14" s="24" t="inlineStr">
        <is>
          <t>Select religion</t>
        </is>
      </c>
      <c r="D14" s="24" t="inlineStr"/>
      <c r="E14" s="24" t="inlineStr">
        <is>
          <t>Choose from dropdown</t>
        </is>
      </c>
      <c r="F14" s="24" t="inlineStr"/>
      <c r="G14" s="24" t="inlineStr">
        <is>
          <t>Religion is selected</t>
        </is>
      </c>
      <c r="H14" s="24" t="inlineStr">
        <is>
          <t>Religion is selected</t>
        </is>
      </c>
      <c r="I14" s="24" t="inlineStr">
        <is>
          <t>Passed</t>
        </is>
      </c>
      <c r="J14" s="24" t="inlineStr">
        <is>
          <t>Medium</t>
        </is>
      </c>
      <c r="K14" s="24" t="inlineStr">
        <is>
          <t>Functional</t>
        </is>
      </c>
      <c r="L14" s="24" t="inlineStr">
        <is>
          <t>QA Team</t>
        </is>
      </c>
      <c r="M14" s="24" t="inlineStr"/>
      <c r="N14" s="24" t="inlineStr"/>
    </row>
    <row r="15" ht="46" customHeight="1">
      <c r="A15" s="23" t="inlineStr">
        <is>
          <t>ADD-011</t>
        </is>
      </c>
      <c r="B15" s="23" t="inlineStr">
        <is>
          <t>Gender</t>
        </is>
      </c>
      <c r="C15" s="23" t="inlineStr">
        <is>
          <t>Select gender</t>
        </is>
      </c>
      <c r="D15" s="23" t="inlineStr"/>
      <c r="E15" s="23" t="inlineStr">
        <is>
          <t>Choose from dropdown</t>
        </is>
      </c>
      <c r="F15" s="23" t="inlineStr"/>
      <c r="G15" s="23" t="inlineStr">
        <is>
          <t>Gender is selected</t>
        </is>
      </c>
      <c r="H15" s="23" t="inlineStr">
        <is>
          <t>Gender is selected</t>
        </is>
      </c>
      <c r="I15" s="23" t="inlineStr">
        <is>
          <t>Passed</t>
        </is>
      </c>
      <c r="J15" s="23" t="inlineStr">
        <is>
          <t>Medium</t>
        </is>
      </c>
      <c r="K15" s="23" t="inlineStr">
        <is>
          <t>Functional</t>
        </is>
      </c>
      <c r="L15" s="23" t="inlineStr">
        <is>
          <t>QA Team</t>
        </is>
      </c>
      <c r="M15" s="23" t="inlineStr"/>
      <c r="N15" s="23" t="inlineStr"/>
    </row>
    <row r="16" ht="46" customHeight="1">
      <c r="A16" s="24" t="inlineStr">
        <is>
          <t>ADD-012</t>
        </is>
      </c>
      <c r="B16" s="24" t="inlineStr">
        <is>
          <t>Education</t>
        </is>
      </c>
      <c r="C16" s="24" t="inlineStr">
        <is>
          <t>Enter education</t>
        </is>
      </c>
      <c r="D16" s="24" t="inlineStr"/>
      <c r="E16" s="24" t="inlineStr">
        <is>
          <t>Fill education field</t>
        </is>
      </c>
      <c r="F16" s="24" t="inlineStr"/>
      <c r="G16" s="24" t="inlineStr">
        <is>
          <t>Value is accepted</t>
        </is>
      </c>
      <c r="H16" s="24" t="inlineStr">
        <is>
          <t>Value is accepted</t>
        </is>
      </c>
      <c r="I16" s="24" t="inlineStr">
        <is>
          <t>Passed</t>
        </is>
      </c>
      <c r="J16" s="24" t="inlineStr">
        <is>
          <t>Medium</t>
        </is>
      </c>
      <c r="K16" s="24" t="inlineStr">
        <is>
          <t>Functional</t>
        </is>
      </c>
      <c r="L16" s="24" t="inlineStr">
        <is>
          <t>QA Team</t>
        </is>
      </c>
      <c r="M16" s="24" t="inlineStr"/>
      <c r="N16" s="24" t="inlineStr"/>
    </row>
    <row r="17" ht="46" customHeight="1">
      <c r="A17" s="23" t="inlineStr">
        <is>
          <t>ADD-013</t>
        </is>
      </c>
      <c r="B17" s="23" t="inlineStr">
        <is>
          <t>Experience</t>
        </is>
      </c>
      <c r="C17" s="23" t="inlineStr">
        <is>
          <t>Enter experience</t>
        </is>
      </c>
      <c r="D17" s="23" t="inlineStr"/>
      <c r="E17" s="23" t="inlineStr">
        <is>
          <t>Fill experience field</t>
        </is>
      </c>
      <c r="F17" s="23" t="inlineStr"/>
      <c r="G17" s="23" t="inlineStr">
        <is>
          <t>Value is accepted</t>
        </is>
      </c>
      <c r="H17" s="23" t="inlineStr">
        <is>
          <t>Value is accepted</t>
        </is>
      </c>
      <c r="I17" s="23" t="inlineStr">
        <is>
          <t>Passed</t>
        </is>
      </c>
      <c r="J17" s="23" t="inlineStr">
        <is>
          <t>Medium</t>
        </is>
      </c>
      <c r="K17" s="23" t="inlineStr">
        <is>
          <t>Functional</t>
        </is>
      </c>
      <c r="L17" s="23" t="inlineStr">
        <is>
          <t>QA Team</t>
        </is>
      </c>
      <c r="M17" s="23" t="inlineStr"/>
      <c r="N17" s="23" t="inlineStr"/>
    </row>
    <row r="18" ht="46" customHeight="1">
      <c r="A18" s="24" t="inlineStr">
        <is>
          <t>ADD-014</t>
        </is>
      </c>
      <c r="B18" s="24" t="inlineStr">
        <is>
          <t>Employment History</t>
        </is>
      </c>
      <c r="C18" s="24" t="inlineStr">
        <is>
          <t>Enter employment history</t>
        </is>
      </c>
      <c r="D18" s="24" t="inlineStr"/>
      <c r="E18" s="24" t="inlineStr">
        <is>
          <t>Fill field</t>
        </is>
      </c>
      <c r="F18" s="24" t="inlineStr"/>
      <c r="G18" s="24" t="inlineStr">
        <is>
          <t>Value is accepted</t>
        </is>
      </c>
      <c r="H18" s="24" t="inlineStr">
        <is>
          <t>Value is accepted</t>
        </is>
      </c>
      <c r="I18" s="24" t="inlineStr">
        <is>
          <t>Passed</t>
        </is>
      </c>
      <c r="J18" s="24" t="inlineStr">
        <is>
          <t>Medium</t>
        </is>
      </c>
      <c r="K18" s="24" t="inlineStr">
        <is>
          <t>Functional</t>
        </is>
      </c>
      <c r="L18" s="24" t="inlineStr">
        <is>
          <t>QA Team</t>
        </is>
      </c>
      <c r="M18" s="24" t="inlineStr"/>
      <c r="N18" s="24" t="inlineStr"/>
    </row>
    <row r="19" ht="46" customHeight="1">
      <c r="A19" s="23" t="inlineStr">
        <is>
          <t>ADD-015</t>
        </is>
      </c>
      <c r="B19" s="23" t="inlineStr">
        <is>
          <t>Submit</t>
        </is>
      </c>
      <c r="C19" s="23" t="inlineStr">
        <is>
          <t>Submit valid form</t>
        </is>
      </c>
      <c r="D19" s="23" t="inlineStr"/>
      <c r="E19" s="23" t="inlineStr">
        <is>
          <t>Fill required fields and click Add Engineer</t>
        </is>
      </c>
      <c r="F19" s="23" t="inlineStr"/>
      <c r="G19" s="23" t="inlineStr">
        <is>
          <t>Engineer is added successfully</t>
        </is>
      </c>
      <c r="H19" s="23" t="inlineStr">
        <is>
          <t>Engineer is added successfully</t>
        </is>
      </c>
      <c r="I19" s="23" t="inlineStr">
        <is>
          <t>Passed</t>
        </is>
      </c>
      <c r="J19" s="23" t="inlineStr">
        <is>
          <t>Medium</t>
        </is>
      </c>
      <c r="K19" s="23" t="inlineStr">
        <is>
          <t>Functional</t>
        </is>
      </c>
      <c r="L19" s="23" t="inlineStr">
        <is>
          <t>QA Team</t>
        </is>
      </c>
      <c r="M19" s="23" t="inlineStr"/>
      <c r="N19" s="23" t="inlineStr"/>
    </row>
    <row r="20" ht="46" customHeight="1">
      <c r="A20" s="24" t="inlineStr">
        <is>
          <t>ADD-016</t>
        </is>
      </c>
      <c r="B20" s="24" t="inlineStr">
        <is>
          <t>Validation</t>
        </is>
      </c>
      <c r="C20" s="24" t="inlineStr">
        <is>
          <t>Submit empty form</t>
        </is>
      </c>
      <c r="D20" s="24" t="inlineStr"/>
      <c r="E20" s="24" t="inlineStr">
        <is>
          <t>Click Add Engineer without filling data</t>
        </is>
      </c>
      <c r="F20" s="24" t="inlineStr"/>
      <c r="G20" s="24" t="inlineStr">
        <is>
          <t>Validation messages appear</t>
        </is>
      </c>
      <c r="H20" s="24" t="inlineStr">
        <is>
          <t>Validation messages appear</t>
        </is>
      </c>
      <c r="I20" s="24" t="inlineStr">
        <is>
          <t>Passed</t>
        </is>
      </c>
      <c r="J20" s="24" t="inlineStr">
        <is>
          <t>Medium</t>
        </is>
      </c>
      <c r="K20" s="24" t="inlineStr">
        <is>
          <t>Functional</t>
        </is>
      </c>
      <c r="L20" s="24" t="inlineStr">
        <is>
          <t>QA Team</t>
        </is>
      </c>
      <c r="M20" s="24" t="inlineStr"/>
      <c r="N20" s="24" t="inlineStr"/>
    </row>
    <row r="21" ht="46" customHeight="1">
      <c r="A21" s="23" t="inlineStr">
        <is>
          <t>ADD-017</t>
        </is>
      </c>
      <c r="B21" s="23" t="inlineStr">
        <is>
          <t>Responsive</t>
        </is>
      </c>
      <c r="C21" s="23" t="inlineStr">
        <is>
          <t>Verify responsive design</t>
        </is>
      </c>
      <c r="D21" s="23" t="inlineStr"/>
      <c r="E21" s="23" t="inlineStr">
        <is>
          <t>Open on different screens</t>
        </is>
      </c>
      <c r="F21" s="23" t="inlineStr"/>
      <c r="G21" s="23" t="inlineStr">
        <is>
          <t>Layout works correctly</t>
        </is>
      </c>
      <c r="H21" s="23" t="inlineStr">
        <is>
          <t>Layout works correctly</t>
        </is>
      </c>
      <c r="I21" s="23" t="inlineStr">
        <is>
          <t>Passed</t>
        </is>
      </c>
      <c r="J21" s="23" t="inlineStr">
        <is>
          <t>Medium</t>
        </is>
      </c>
      <c r="K21" s="23" t="inlineStr">
        <is>
          <t>Functional</t>
        </is>
      </c>
      <c r="L21" s="23" t="inlineStr">
        <is>
          <t>QA Team</t>
        </is>
      </c>
      <c r="M21" s="23" t="inlineStr"/>
      <c r="N21" s="23" t="inlineStr"/>
    </row>
    <row r="22" ht="46" customHeight="1">
      <c r="A22" s="24" t="inlineStr">
        <is>
          <t>ADD-018</t>
        </is>
      </c>
      <c r="B22" s="24" t="inlineStr">
        <is>
          <t>Add Engineer</t>
        </is>
      </c>
      <c r="C22" s="24" t="inlineStr">
        <is>
          <t>Route smoke test</t>
        </is>
      </c>
      <c r="D22" s="24" t="inlineStr"/>
      <c r="E22" s="24" t="inlineStr">
        <is>
          <t>The Angular route resolves without a 404.</t>
        </is>
      </c>
      <c r="F22" s="24" t="inlineStr"/>
      <c r="G22" s="24" t="inlineStr">
        <is>
          <t>Development server running</t>
        </is>
      </c>
      <c r="H22" s="24" t="inlineStr">
        <is>
          <t>Open the implemented route on localhost:4200</t>
        </is>
      </c>
      <c r="I22" s="24" t="inlineStr">
        <is>
          <t>Not Run</t>
        </is>
      </c>
      <c r="J22" s="24" t="inlineStr">
        <is>
          <t>The Angular route resolves without a 404.</t>
        </is>
      </c>
      <c r="K22" s="24" t="inlineStr">
        <is>
          <t>Functional</t>
        </is>
      </c>
      <c r="L22" s="24" t="inlineStr">
        <is>
          <t>Not executed: requires isolated test data, credentials, or controlled API failure.</t>
        </is>
      </c>
      <c r="M22" s="24" t="inlineStr">
        <is>
          <t>Not Run</t>
        </is>
      </c>
      <c r="N22" s="24" t="inlineStr">
        <is>
          <t>Medium</t>
        </is>
      </c>
    </row>
    <row r="23" ht="46" customHeight="1">
      <c r="A23" s="23" t="inlineStr">
        <is>
          <t>ADD-019</t>
        </is>
      </c>
      <c r="B23" s="23" t="inlineStr">
        <is>
          <t>Add Engineer</t>
        </is>
      </c>
      <c r="C23" s="23" t="inlineStr">
        <is>
          <t>Read-only API availability</t>
        </is>
      </c>
      <c r="D23" s="23" t="inlineStr"/>
      <c r="E23" s="23" t="inlineStr">
        <is>
          <t>Read-only data requests complete or a user-visible error is shown.</t>
        </is>
      </c>
      <c r="F23" s="23" t="inlineStr"/>
      <c r="G23" s="23" t="inlineStr">
        <is>
          <t>Local API at localhost:8080</t>
        </is>
      </c>
      <c r="H23" s="23" t="inlineStr">
        <is>
          <t>Load page with the local API running</t>
        </is>
      </c>
      <c r="I23" s="23" t="inlineStr">
        <is>
          <t>Not Run</t>
        </is>
      </c>
      <c r="J23" s="23" t="inlineStr">
        <is>
          <t>Read-only data requests complete or a user-visible error is shown.</t>
        </is>
      </c>
      <c r="K23" s="23" t="inlineStr">
        <is>
          <t>Functional</t>
        </is>
      </c>
      <c r="L23" s="23" t="inlineStr">
        <is>
          <t>Not executed: requires isolated test data, credentials, or controlled API failure.</t>
        </is>
      </c>
      <c r="M23" s="23" t="inlineStr">
        <is>
          <t>Not Run</t>
        </is>
      </c>
      <c r="N23" s="23" t="inlineStr">
        <is>
          <t>Medium</t>
        </is>
      </c>
    </row>
    <row r="24" ht="46" customHeight="1">
      <c r="A24" s="24" t="inlineStr">
        <is>
          <t>ADD-020</t>
        </is>
      </c>
      <c r="B24" s="24" t="inlineStr">
        <is>
          <t>Add Engineer</t>
        </is>
      </c>
      <c r="C24" s="24" t="inlineStr">
        <is>
          <t>Data-changing regression</t>
        </is>
      </c>
      <c r="D24" s="24" t="inlineStr"/>
      <c r="E24" s="24" t="inlineStr">
        <is>
          <t>Only the test record is changed and can be cleaned up.</t>
        </is>
      </c>
      <c r="F24" s="24" t="inlineStr"/>
      <c r="G24" s="24" t="inlineStr">
        <is>
          <t>Dedicated test database and account</t>
        </is>
      </c>
      <c r="H24" s="24" t="inlineStr">
        <is>
          <t>Create, edit, or delete a record using an isolated test account</t>
        </is>
      </c>
      <c r="I24" s="24" t="inlineStr">
        <is>
          <t>Not Run</t>
        </is>
      </c>
      <c r="J24" s="24" t="inlineStr">
        <is>
          <t>Only the test record is changed and can be cleaned up.</t>
        </is>
      </c>
      <c r="K24" s="24" t="inlineStr">
        <is>
          <t>Functional</t>
        </is>
      </c>
      <c r="L24" s="24" t="inlineStr">
        <is>
          <t>Not executed: requires isolated test data, credentials, or controlled API failure.</t>
        </is>
      </c>
      <c r="M24" s="24" t="inlineStr">
        <is>
          <t>Not Run</t>
        </is>
      </c>
      <c r="N24" s="24" t="inlineStr">
        <is>
          <t>Medium</t>
        </is>
      </c>
    </row>
  </sheetData>
  <autoFilter ref="A4:N24"/>
  <mergeCells count="2">
    <mergeCell ref="A2:N2"/>
    <mergeCell ref="A1:N1"/>
  </mergeCells>
  <conditionalFormatting sqref="I5:I24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"Not Run"</formula>
    </cfRule>
    <cfRule type="cellIs" priority="4" operator="equal" dxfId="3">
      <formula>"Blocked"</formula>
    </cfRule>
  </conditionalFormatting>
  <dataValidations count="1">
    <dataValidation sqref="I5:I24" showDropDown="0" showInputMessage="0" showErrorMessage="0" allowBlank="0" type="list">
      <formula1>"Passed,Failed,Blocked,Not Run"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28" customWidth="1" min="4" max="4"/>
    <col width="40" customWidth="1" min="5" max="5"/>
    <col width="22" customWidth="1" min="6" max="6"/>
    <col width="38" customWidth="1" min="7" max="7"/>
    <col width="38" customWidth="1" min="8" max="8"/>
    <col width="14" customWidth="1" min="9" max="9"/>
    <col width="12" customWidth="1" min="10" max="10"/>
    <col width="15" customWidth="1" min="11" max="11"/>
    <col width="16" customWidth="1" min="12" max="12"/>
    <col width="16" customWidth="1" min="13" max="13"/>
    <col width="30" customWidth="1" min="14" max="14"/>
  </cols>
  <sheetData>
    <row r="1" ht="38" customHeight="1">
      <c r="A1" s="1" t="inlineStr">
        <is>
          <t>Create Engineer Report</t>
        </is>
      </c>
    </row>
    <row r="2" ht="24" customHeight="1">
      <c r="A2" s="2" t="inlineStr">
        <is>
          <t>NTG Admin Module • QA test cases • Last updated: 2026-07-20</t>
        </is>
      </c>
    </row>
    <row r="4" ht="30" customHeight="1">
      <c r="A4" s="22" t="inlineStr">
        <is>
          <t>Test ID</t>
        </is>
      </c>
      <c r="B4" s="22" t="inlineStr">
        <is>
          <t>Feature</t>
        </is>
      </c>
      <c r="C4" s="22" t="inlineStr">
        <is>
          <t>Test Scenario</t>
        </is>
      </c>
      <c r="D4" s="22" t="inlineStr">
        <is>
          <t>Preconditions</t>
        </is>
      </c>
      <c r="E4" s="22" t="inlineStr">
        <is>
          <t>Test Steps</t>
        </is>
      </c>
      <c r="F4" s="22" t="inlineStr">
        <is>
          <t>Test Data</t>
        </is>
      </c>
      <c r="G4" s="22" t="inlineStr">
        <is>
          <t>Expected Result</t>
        </is>
      </c>
      <c r="H4" s="22" t="inlineStr">
        <is>
          <t>Actual Result</t>
        </is>
      </c>
      <c r="I4" s="22" t="inlineStr">
        <is>
          <t>Status</t>
        </is>
      </c>
      <c r="J4" s="22" t="inlineStr">
        <is>
          <t>Priority</t>
        </is>
      </c>
      <c r="K4" s="22" t="inlineStr">
        <is>
          <t>Test Type</t>
        </is>
      </c>
      <c r="L4" s="22" t="inlineStr">
        <is>
          <t>Tester</t>
        </is>
      </c>
      <c r="M4" s="22" t="inlineStr">
        <is>
          <t>Execution Date</t>
        </is>
      </c>
      <c r="N4" s="22" t="inlineStr">
        <is>
          <t>Notes</t>
        </is>
      </c>
    </row>
    <row r="5" ht="46" customHeight="1">
      <c r="A5" s="23" t="inlineStr">
        <is>
          <t>CRE-001</t>
        </is>
      </c>
      <c r="B5" s="23" t="inlineStr">
        <is>
          <t>Page Load</t>
        </is>
      </c>
      <c r="C5" s="23" t="inlineStr">
        <is>
          <t>Verify page opens</t>
        </is>
      </c>
      <c r="D5" s="23" t="inlineStr"/>
      <c r="E5" s="23" t="inlineStr">
        <is>
          <t>Open Create Engineer Report page</t>
        </is>
      </c>
      <c r="F5" s="23" t="inlineStr"/>
      <c r="G5" s="23" t="inlineStr">
        <is>
          <t>Page opens successfully</t>
        </is>
      </c>
      <c r="H5" s="23" t="inlineStr">
        <is>
          <t>Page opens successfully</t>
        </is>
      </c>
      <c r="I5" s="23" t="inlineStr">
        <is>
          <t>Passed</t>
        </is>
      </c>
      <c r="J5" s="23" t="inlineStr">
        <is>
          <t>Medium</t>
        </is>
      </c>
      <c r="K5" s="23" t="inlineStr">
        <is>
          <t>Functional</t>
        </is>
      </c>
      <c r="L5" s="23" t="inlineStr">
        <is>
          <t>QA Team</t>
        </is>
      </c>
      <c r="M5" s="23" t="inlineStr"/>
      <c r="N5" s="23" t="inlineStr"/>
    </row>
    <row r="6" ht="46" customHeight="1">
      <c r="A6" s="24" t="inlineStr">
        <is>
          <t>CRE-002</t>
        </is>
      </c>
      <c r="B6" s="24" t="inlineStr">
        <is>
          <t>Back Button</t>
        </is>
      </c>
      <c r="C6" s="24" t="inlineStr">
        <is>
          <t>Verify back navigation</t>
        </is>
      </c>
      <c r="D6" s="24" t="inlineStr"/>
      <c r="E6" s="24" t="inlineStr">
        <is>
          <t>Click Back button</t>
        </is>
      </c>
      <c r="F6" s="24" t="inlineStr"/>
      <c r="G6" s="24" t="inlineStr">
        <is>
          <t>User returns to previous page</t>
        </is>
      </c>
      <c r="H6" s="24" t="inlineStr">
        <is>
          <t>User returns to previous page</t>
        </is>
      </c>
      <c r="I6" s="24" t="inlineStr">
        <is>
          <t>Passed</t>
        </is>
      </c>
      <c r="J6" s="24" t="inlineStr">
        <is>
          <t>Medium</t>
        </is>
      </c>
      <c r="K6" s="24" t="inlineStr">
        <is>
          <t>Functional</t>
        </is>
      </c>
      <c r="L6" s="24" t="inlineStr">
        <is>
          <t>QA Team</t>
        </is>
      </c>
      <c r="M6" s="24" t="inlineStr"/>
      <c r="N6" s="24" t="inlineStr"/>
    </row>
    <row r="7" ht="46" customHeight="1">
      <c r="A7" s="23" t="inlineStr">
        <is>
          <t>CRE-003</t>
        </is>
      </c>
      <c r="B7" s="23" t="inlineStr">
        <is>
          <t>Engineer</t>
        </is>
      </c>
      <c r="C7" s="23" t="inlineStr">
        <is>
          <t>Select engineer</t>
        </is>
      </c>
      <c r="D7" s="23" t="inlineStr"/>
      <c r="E7" s="23" t="inlineStr">
        <is>
          <t>Choose engineer from dropdown</t>
        </is>
      </c>
      <c r="F7" s="23" t="inlineStr"/>
      <c r="G7" s="23" t="inlineStr">
        <is>
          <t>Engineer is selected</t>
        </is>
      </c>
      <c r="H7" s="23" t="inlineStr">
        <is>
          <t>Engineer is selected</t>
        </is>
      </c>
      <c r="I7" s="23" t="inlineStr">
        <is>
          <t>Passed</t>
        </is>
      </c>
      <c r="J7" s="23" t="inlineStr">
        <is>
          <t>Medium</t>
        </is>
      </c>
      <c r="K7" s="23" t="inlineStr">
        <is>
          <t>Functional</t>
        </is>
      </c>
      <c r="L7" s="23" t="inlineStr">
        <is>
          <t>QA Team</t>
        </is>
      </c>
      <c r="M7" s="23" t="inlineStr"/>
      <c r="N7" s="23" t="inlineStr"/>
    </row>
    <row r="8" ht="46" customHeight="1">
      <c r="A8" s="24" t="inlineStr">
        <is>
          <t>CRE-004</t>
        </is>
      </c>
      <c r="B8" s="24" t="inlineStr">
        <is>
          <t>Engineer</t>
        </is>
      </c>
      <c r="C8" s="24" t="inlineStr">
        <is>
          <t>Verify engineer dropdown values</t>
        </is>
      </c>
      <c r="D8" s="24" t="inlineStr"/>
      <c r="E8" s="24" t="inlineStr">
        <is>
          <t>Open dropdown list</t>
        </is>
      </c>
      <c r="F8" s="24" t="inlineStr"/>
      <c r="G8" s="24" t="inlineStr">
        <is>
          <t>All engineers are displayed</t>
        </is>
      </c>
      <c r="H8" s="24" t="inlineStr">
        <is>
          <t>All engineers are displayed</t>
        </is>
      </c>
      <c r="I8" s="24" t="inlineStr">
        <is>
          <t>Passed</t>
        </is>
      </c>
      <c r="J8" s="24" t="inlineStr">
        <is>
          <t>Medium</t>
        </is>
      </c>
      <c r="K8" s="24" t="inlineStr">
        <is>
          <t>Functional</t>
        </is>
      </c>
      <c r="L8" s="24" t="inlineStr">
        <is>
          <t>QA Team</t>
        </is>
      </c>
      <c r="M8" s="24" t="inlineStr"/>
      <c r="N8" s="24" t="inlineStr"/>
    </row>
    <row r="9" ht="46" customHeight="1">
      <c r="A9" s="23" t="inlineStr">
        <is>
          <t>CRE-005</t>
        </is>
      </c>
      <c r="B9" s="23" t="inlineStr">
        <is>
          <t>Date</t>
        </is>
      </c>
      <c r="C9" s="23" t="inlineStr">
        <is>
          <t>Choose report date</t>
        </is>
      </c>
      <c r="D9" s="23" t="inlineStr"/>
      <c r="E9" s="23" t="inlineStr">
        <is>
          <t>Select a valid date</t>
        </is>
      </c>
      <c r="F9" s="23" t="inlineStr"/>
      <c r="G9" s="23" t="inlineStr">
        <is>
          <t>Date is shown correctly</t>
        </is>
      </c>
      <c r="H9" s="23" t="inlineStr">
        <is>
          <t>Date is shown correctly</t>
        </is>
      </c>
      <c r="I9" s="23" t="inlineStr">
        <is>
          <t>Passed</t>
        </is>
      </c>
      <c r="J9" s="23" t="inlineStr">
        <is>
          <t>Medium</t>
        </is>
      </c>
      <c r="K9" s="23" t="inlineStr">
        <is>
          <t>Functional</t>
        </is>
      </c>
      <c r="L9" s="23" t="inlineStr">
        <is>
          <t>QA Team</t>
        </is>
      </c>
      <c r="M9" s="23" t="inlineStr"/>
      <c r="N9" s="23" t="inlineStr"/>
    </row>
    <row r="10" ht="46" customHeight="1">
      <c r="A10" s="24" t="inlineStr">
        <is>
          <t>CRE-006</t>
        </is>
      </c>
      <c r="B10" s="24" t="inlineStr">
        <is>
          <t>Rating</t>
        </is>
      </c>
      <c r="C10" s="24" t="inlineStr">
        <is>
          <t>Enter valid rating</t>
        </is>
      </c>
      <c r="D10" s="24" t="inlineStr"/>
      <c r="E10" s="24" t="inlineStr">
        <is>
          <t>Enter value from 0 to 5</t>
        </is>
      </c>
      <c r="F10" s="24" t="inlineStr"/>
      <c r="G10" s="24" t="inlineStr">
        <is>
          <t>Rating is accepted</t>
        </is>
      </c>
      <c r="H10" s="24" t="inlineStr">
        <is>
          <t>Rating is accepted</t>
        </is>
      </c>
      <c r="I10" s="24" t="inlineStr">
        <is>
          <t>Passed</t>
        </is>
      </c>
      <c r="J10" s="24" t="inlineStr">
        <is>
          <t>Medium</t>
        </is>
      </c>
      <c r="K10" s="24" t="inlineStr">
        <is>
          <t>Functional</t>
        </is>
      </c>
      <c r="L10" s="24" t="inlineStr">
        <is>
          <t>QA Team</t>
        </is>
      </c>
      <c r="M10" s="24" t="inlineStr"/>
      <c r="N10" s="24" t="inlineStr"/>
    </row>
    <row r="11" ht="46" customHeight="1">
      <c r="A11" s="23" t="inlineStr">
        <is>
          <t>CRE-007</t>
        </is>
      </c>
      <c r="B11" s="23" t="inlineStr">
        <is>
          <t>Rating</t>
        </is>
      </c>
      <c r="C11" s="23" t="inlineStr">
        <is>
          <t>Enter invalid rating</t>
        </is>
      </c>
      <c r="D11" s="23" t="inlineStr"/>
      <c r="E11" s="23" t="inlineStr">
        <is>
          <t>Enter value outside 0-5</t>
        </is>
      </c>
      <c r="F11" s="23" t="inlineStr"/>
      <c r="G11" s="23" t="inlineStr">
        <is>
          <t>Validation message appears</t>
        </is>
      </c>
      <c r="H11" s="23" t="inlineStr">
        <is>
          <t>can't enter less than 0 and more than 5</t>
        </is>
      </c>
      <c r="I11" s="23" t="inlineStr">
        <is>
          <t>Passed</t>
        </is>
      </c>
      <c r="J11" s="23" t="inlineStr">
        <is>
          <t>Medium</t>
        </is>
      </c>
      <c r="K11" s="23" t="inlineStr">
        <is>
          <t>Functional</t>
        </is>
      </c>
      <c r="L11" s="23" t="inlineStr">
        <is>
          <t>QA Team</t>
        </is>
      </c>
      <c r="M11" s="23" t="inlineStr"/>
      <c r="N11" s="23" t="inlineStr"/>
    </row>
    <row r="12" ht="46" customHeight="1">
      <c r="A12" s="24" t="inlineStr">
        <is>
          <t>CRE-008</t>
        </is>
      </c>
      <c r="B12" s="24" t="inlineStr">
        <is>
          <t>Feedback</t>
        </is>
      </c>
      <c r="C12" s="24" t="inlineStr">
        <is>
          <t>Enter feedback text</t>
        </is>
      </c>
      <c r="D12" s="24" t="inlineStr"/>
      <c r="E12" s="24" t="inlineStr">
        <is>
          <t>Fill feedback field</t>
        </is>
      </c>
      <c r="F12" s="24" t="inlineStr"/>
      <c r="G12" s="24" t="inlineStr">
        <is>
          <t>Feedback is saved</t>
        </is>
      </c>
      <c r="H12" s="24" t="inlineStr">
        <is>
          <t>Feedback is saved</t>
        </is>
      </c>
      <c r="I12" s="24" t="inlineStr">
        <is>
          <t>Passed</t>
        </is>
      </c>
      <c r="J12" s="24" t="inlineStr">
        <is>
          <t>Medium</t>
        </is>
      </c>
      <c r="K12" s="24" t="inlineStr">
        <is>
          <t>Functional</t>
        </is>
      </c>
      <c r="L12" s="24" t="inlineStr">
        <is>
          <t>QA Team</t>
        </is>
      </c>
      <c r="M12" s="24" t="inlineStr"/>
      <c r="N12" s="24" t="inlineStr"/>
    </row>
    <row r="13" ht="46" customHeight="1">
      <c r="A13" s="23" t="inlineStr">
        <is>
          <t>CRE-009</t>
        </is>
      </c>
      <c r="B13" s="23" t="inlineStr">
        <is>
          <t>Notes</t>
        </is>
      </c>
      <c r="C13" s="23" t="inlineStr">
        <is>
          <t>Enter notes</t>
        </is>
      </c>
      <c r="D13" s="23" t="inlineStr"/>
      <c r="E13" s="23" t="inlineStr">
        <is>
          <t>Fill notes field</t>
        </is>
      </c>
      <c r="F13" s="23" t="inlineStr"/>
      <c r="G13" s="23" t="inlineStr">
        <is>
          <t>Notes are saved</t>
        </is>
      </c>
      <c r="H13" s="23" t="inlineStr">
        <is>
          <t>Notes are saved</t>
        </is>
      </c>
      <c r="I13" s="23" t="inlineStr">
        <is>
          <t>Passed</t>
        </is>
      </c>
      <c r="J13" s="23" t="inlineStr">
        <is>
          <t>Medium</t>
        </is>
      </c>
      <c r="K13" s="23" t="inlineStr">
        <is>
          <t>Functional</t>
        </is>
      </c>
      <c r="L13" s="23" t="inlineStr">
        <is>
          <t>QA Team</t>
        </is>
      </c>
      <c r="M13" s="23" t="inlineStr"/>
      <c r="N13" s="23" t="inlineStr"/>
    </row>
    <row r="14" ht="46" customHeight="1">
      <c r="A14" s="24" t="inlineStr">
        <is>
          <t>CRE-010</t>
        </is>
      </c>
      <c r="B14" s="24" t="inlineStr">
        <is>
          <t>Validation</t>
        </is>
      </c>
      <c r="C14" s="24" t="inlineStr">
        <is>
          <t>Submit empty form</t>
        </is>
      </c>
      <c r="D14" s="24" t="inlineStr"/>
      <c r="E14" s="24" t="inlineStr">
        <is>
          <t>Click Save Report without data</t>
        </is>
      </c>
      <c r="F14" s="24" t="inlineStr"/>
      <c r="G14" s="24" t="inlineStr">
        <is>
          <t>Validation messages appear</t>
        </is>
      </c>
      <c r="H14" s="24" t="inlineStr">
        <is>
          <t>doesn't save</t>
        </is>
      </c>
      <c r="I14" s="24" t="inlineStr">
        <is>
          <t>Passed</t>
        </is>
      </c>
      <c r="J14" s="24" t="inlineStr">
        <is>
          <t>Medium</t>
        </is>
      </c>
      <c r="K14" s="24" t="inlineStr">
        <is>
          <t>Functional</t>
        </is>
      </c>
      <c r="L14" s="24" t="inlineStr">
        <is>
          <t>QA Team</t>
        </is>
      </c>
      <c r="M14" s="24" t="inlineStr"/>
      <c r="N14" s="24" t="inlineStr"/>
    </row>
    <row r="15" ht="46" customHeight="1">
      <c r="A15" s="23" t="inlineStr">
        <is>
          <t>CRE-011</t>
        </is>
      </c>
      <c r="B15" s="23" t="inlineStr">
        <is>
          <t>Save Report</t>
        </is>
      </c>
      <c r="C15" s="23" t="inlineStr">
        <is>
          <t>Save report with valid data</t>
        </is>
      </c>
      <c r="D15" s="23" t="inlineStr"/>
      <c r="E15" s="23" t="inlineStr">
        <is>
          <t>Fill all fields and click Save Report</t>
        </is>
      </c>
      <c r="F15" s="23" t="inlineStr"/>
      <c r="G15" s="23" t="inlineStr">
        <is>
          <t>Report is saved successfully</t>
        </is>
      </c>
      <c r="H15" s="23" t="inlineStr">
        <is>
          <t>Report is saved successfully</t>
        </is>
      </c>
      <c r="I15" s="23" t="inlineStr">
        <is>
          <t>Passed</t>
        </is>
      </c>
      <c r="J15" s="23" t="inlineStr">
        <is>
          <t>Medium</t>
        </is>
      </c>
      <c r="K15" s="23" t="inlineStr">
        <is>
          <t>Functional</t>
        </is>
      </c>
      <c r="L15" s="23" t="inlineStr">
        <is>
          <t>QA Team</t>
        </is>
      </c>
      <c r="M15" s="23" t="inlineStr"/>
      <c r="N15" s="23" t="inlineStr"/>
    </row>
    <row r="16" ht="46" customHeight="1">
      <c r="A16" s="24" t="inlineStr">
        <is>
          <t>CRE-012</t>
        </is>
      </c>
      <c r="B16" s="24" t="inlineStr">
        <is>
          <t>API/Database</t>
        </is>
      </c>
      <c r="C16" s="24" t="inlineStr">
        <is>
          <t>Verify saved data</t>
        </is>
      </c>
      <c r="D16" s="24" t="inlineStr"/>
      <c r="E16" s="24" t="inlineStr">
        <is>
          <t>Save report and check API/database</t>
        </is>
      </c>
      <c r="F16" s="24" t="inlineStr"/>
      <c r="G16" s="24" t="inlineStr">
        <is>
          <t>Saved data matches entered data</t>
        </is>
      </c>
      <c r="H16" s="24" t="inlineStr">
        <is>
          <t>Saved data matches entered data</t>
        </is>
      </c>
      <c r="I16" s="24" t="inlineStr">
        <is>
          <t>Passed</t>
        </is>
      </c>
      <c r="J16" s="24" t="inlineStr">
        <is>
          <t>Medium</t>
        </is>
      </c>
      <c r="K16" s="24" t="inlineStr">
        <is>
          <t>Functional</t>
        </is>
      </c>
      <c r="L16" s="24" t="inlineStr">
        <is>
          <t>QA Team</t>
        </is>
      </c>
      <c r="M16" s="24" t="inlineStr"/>
      <c r="N16" s="24" t="inlineStr"/>
    </row>
    <row r="17" ht="46" customHeight="1">
      <c r="A17" s="23" t="inlineStr">
        <is>
          <t>CRE-013</t>
        </is>
      </c>
      <c r="B17" s="23" t="inlineStr">
        <is>
          <t>Responsive</t>
        </is>
      </c>
      <c r="C17" s="23" t="inlineStr">
        <is>
          <t>Check responsive design</t>
        </is>
      </c>
      <c r="D17" s="23" t="inlineStr"/>
      <c r="E17" s="23" t="inlineStr">
        <is>
          <t>Open page on mobile and tablet</t>
        </is>
      </c>
      <c r="F17" s="23" t="inlineStr"/>
      <c r="G17" s="23" t="inlineStr">
        <is>
          <t>Layout works correctly</t>
        </is>
      </c>
      <c r="H17" s="23" t="inlineStr">
        <is>
          <t>Layout works correctly</t>
        </is>
      </c>
      <c r="I17" s="23" t="inlineStr">
        <is>
          <t>Passed</t>
        </is>
      </c>
      <c r="J17" s="23" t="inlineStr">
        <is>
          <t>Medium</t>
        </is>
      </c>
      <c r="K17" s="23" t="inlineStr">
        <is>
          <t>Functional</t>
        </is>
      </c>
      <c r="L17" s="23" t="inlineStr">
        <is>
          <t>QA Team</t>
        </is>
      </c>
      <c r="M17" s="23" t="inlineStr"/>
      <c r="N17" s="23" t="inlineStr"/>
    </row>
    <row r="18" ht="46" customHeight="1">
      <c r="A18" s="24" t="inlineStr">
        <is>
          <t>CRE-014</t>
        </is>
      </c>
      <c r="B18" s="24" t="inlineStr">
        <is>
          <t>Create Engineer Report</t>
        </is>
      </c>
      <c r="C18" s="24" t="inlineStr">
        <is>
          <t>Route smoke test</t>
        </is>
      </c>
      <c r="D18" s="24" t="inlineStr"/>
      <c r="E18" s="24" t="inlineStr">
        <is>
          <t>The Angular route resolves without a 404.</t>
        </is>
      </c>
      <c r="F18" s="24" t="inlineStr"/>
      <c r="G18" s="24" t="inlineStr">
        <is>
          <t>Development server running</t>
        </is>
      </c>
      <c r="H18" s="24" t="inlineStr">
        <is>
          <t>Open the implemented route on localhost:4200</t>
        </is>
      </c>
      <c r="I18" s="24" t="inlineStr">
        <is>
          <t>Not Run</t>
        </is>
      </c>
      <c r="J18" s="24" t="inlineStr">
        <is>
          <t>The Angular route resolves without a 404.</t>
        </is>
      </c>
      <c r="K18" s="24" t="inlineStr">
        <is>
          <t>Functional</t>
        </is>
      </c>
      <c r="L18" s="24" t="inlineStr">
        <is>
          <t>Not executed: requires isolated test data, credentials, or controlled API failure.</t>
        </is>
      </c>
      <c r="M18" s="24" t="inlineStr">
        <is>
          <t>Not Run</t>
        </is>
      </c>
      <c r="N18" s="24" t="inlineStr">
        <is>
          <t>Medium</t>
        </is>
      </c>
    </row>
    <row r="19" ht="46" customHeight="1">
      <c r="A19" s="23" t="inlineStr">
        <is>
          <t>CRE-015</t>
        </is>
      </c>
      <c r="B19" s="23" t="inlineStr">
        <is>
          <t>Create Engineer Report</t>
        </is>
      </c>
      <c r="C19" s="23" t="inlineStr">
        <is>
          <t>Read-only API availability</t>
        </is>
      </c>
      <c r="D19" s="23" t="inlineStr"/>
      <c r="E19" s="23" t="inlineStr">
        <is>
          <t>Read-only data requests complete or a user-visible error is shown.</t>
        </is>
      </c>
      <c r="F19" s="23" t="inlineStr"/>
      <c r="G19" s="23" t="inlineStr">
        <is>
          <t>Local API at localhost:8080</t>
        </is>
      </c>
      <c r="H19" s="23" t="inlineStr">
        <is>
          <t>Load page with the local API running</t>
        </is>
      </c>
      <c r="I19" s="23" t="inlineStr">
        <is>
          <t>Not Run</t>
        </is>
      </c>
      <c r="J19" s="23" t="inlineStr">
        <is>
          <t>Read-only data requests complete or a user-visible error is shown.</t>
        </is>
      </c>
      <c r="K19" s="23" t="inlineStr">
        <is>
          <t>Functional</t>
        </is>
      </c>
      <c r="L19" s="23" t="inlineStr">
        <is>
          <t>Not executed: requires isolated test data, credentials, or controlled API failure.</t>
        </is>
      </c>
      <c r="M19" s="23" t="inlineStr">
        <is>
          <t>Not Run</t>
        </is>
      </c>
      <c r="N19" s="23" t="inlineStr">
        <is>
          <t>Medium</t>
        </is>
      </c>
    </row>
    <row r="20" ht="46" customHeight="1">
      <c r="A20" s="24" t="inlineStr">
        <is>
          <t>CRE-016</t>
        </is>
      </c>
      <c r="B20" s="24" t="inlineStr">
        <is>
          <t>Create Engineer Report</t>
        </is>
      </c>
      <c r="C20" s="24" t="inlineStr">
        <is>
          <t>Data-changing regression</t>
        </is>
      </c>
      <c r="D20" s="24" t="inlineStr"/>
      <c r="E20" s="24" t="inlineStr">
        <is>
          <t>Only the test record is changed and can be cleaned up.</t>
        </is>
      </c>
      <c r="F20" s="24" t="inlineStr"/>
      <c r="G20" s="24" t="inlineStr">
        <is>
          <t>Dedicated test database and account</t>
        </is>
      </c>
      <c r="H20" s="24" t="inlineStr">
        <is>
          <t>Create, edit, or delete a record using an isolated test account</t>
        </is>
      </c>
      <c r="I20" s="24" t="inlineStr">
        <is>
          <t>Not Run</t>
        </is>
      </c>
      <c r="J20" s="24" t="inlineStr">
        <is>
          <t>Only the test record is changed and can be cleaned up.</t>
        </is>
      </c>
      <c r="K20" s="24" t="inlineStr">
        <is>
          <t>Functional</t>
        </is>
      </c>
      <c r="L20" s="24" t="inlineStr">
        <is>
          <t>Not executed: requires isolated test data, credentials, or controlled API failure.</t>
        </is>
      </c>
      <c r="M20" s="24" t="inlineStr">
        <is>
          <t>Not Run</t>
        </is>
      </c>
      <c r="N20" s="24" t="inlineStr">
        <is>
          <t>Medium</t>
        </is>
      </c>
    </row>
  </sheetData>
  <autoFilter ref="A4:N20"/>
  <mergeCells count="2">
    <mergeCell ref="A2:N2"/>
    <mergeCell ref="A1:N1"/>
  </mergeCells>
  <conditionalFormatting sqref="I5:I20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"Not Run"</formula>
    </cfRule>
    <cfRule type="cellIs" priority="4" operator="equal" dxfId="3">
      <formula>"Blocked"</formula>
    </cfRule>
  </conditionalFormatting>
  <dataValidations count="1">
    <dataValidation sqref="I5:I20" showDropDown="0" showInputMessage="0" showErrorMessage="0" allowBlank="0" type="list">
      <formula1>"Passed,Failed,Blocked,Not Run"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28" customWidth="1" min="4" max="4"/>
    <col width="40" customWidth="1" min="5" max="5"/>
    <col width="22" customWidth="1" min="6" max="6"/>
    <col width="38" customWidth="1" min="7" max="7"/>
    <col width="38" customWidth="1" min="8" max="8"/>
    <col width="14" customWidth="1" min="9" max="9"/>
    <col width="12" customWidth="1" min="10" max="10"/>
    <col width="15" customWidth="1" min="11" max="11"/>
    <col width="16" customWidth="1" min="12" max="12"/>
    <col width="16" customWidth="1" min="13" max="13"/>
    <col width="30" customWidth="1" min="14" max="14"/>
  </cols>
  <sheetData>
    <row r="1" ht="38" customHeight="1">
      <c r="A1" s="1" t="inlineStr">
        <is>
          <t>Edit Engineer</t>
        </is>
      </c>
    </row>
    <row r="2" ht="24" customHeight="1">
      <c r="A2" s="2" t="inlineStr">
        <is>
          <t>NTG Admin Module • QA test cases • Last updated: 2026-07-20</t>
        </is>
      </c>
    </row>
    <row r="4" ht="30" customHeight="1">
      <c r="A4" s="22" t="inlineStr">
        <is>
          <t>Test ID</t>
        </is>
      </c>
      <c r="B4" s="22" t="inlineStr">
        <is>
          <t>Feature</t>
        </is>
      </c>
      <c r="C4" s="22" t="inlineStr">
        <is>
          <t>Test Scenario</t>
        </is>
      </c>
      <c r="D4" s="22" t="inlineStr">
        <is>
          <t>Preconditions</t>
        </is>
      </c>
      <c r="E4" s="22" t="inlineStr">
        <is>
          <t>Test Steps</t>
        </is>
      </c>
      <c r="F4" s="22" t="inlineStr">
        <is>
          <t>Test Data</t>
        </is>
      </c>
      <c r="G4" s="22" t="inlineStr">
        <is>
          <t>Expected Result</t>
        </is>
      </c>
      <c r="H4" s="22" t="inlineStr">
        <is>
          <t>Actual Result</t>
        </is>
      </c>
      <c r="I4" s="22" t="inlineStr">
        <is>
          <t>Status</t>
        </is>
      </c>
      <c r="J4" s="22" t="inlineStr">
        <is>
          <t>Priority</t>
        </is>
      </c>
      <c r="K4" s="22" t="inlineStr">
        <is>
          <t>Test Type</t>
        </is>
      </c>
      <c r="L4" s="22" t="inlineStr">
        <is>
          <t>Tester</t>
        </is>
      </c>
      <c r="M4" s="22" t="inlineStr">
        <is>
          <t>Execution Date</t>
        </is>
      </c>
      <c r="N4" s="22" t="inlineStr">
        <is>
          <t>Notes</t>
        </is>
      </c>
    </row>
    <row r="5" ht="46" customHeight="1">
      <c r="A5" s="23" t="inlineStr">
        <is>
          <t>EDI-001</t>
        </is>
      </c>
      <c r="B5" s="23" t="inlineStr">
        <is>
          <t>Page Load</t>
        </is>
      </c>
      <c r="C5" s="23" t="inlineStr">
        <is>
          <t>Verify Edit Engineer page opens</t>
        </is>
      </c>
      <c r="D5" s="23" t="inlineStr"/>
      <c r="E5" s="23" t="inlineStr">
        <is>
          <t>Open Edit Engineer page</t>
        </is>
      </c>
      <c r="F5" s="23" t="inlineStr"/>
      <c r="G5" s="23" t="inlineStr">
        <is>
          <t>Page loads successfully with engineer data</t>
        </is>
      </c>
      <c r="H5" s="23" t="inlineStr">
        <is>
          <t>Page loads successfully with engineer data</t>
        </is>
      </c>
      <c r="I5" s="23" t="inlineStr">
        <is>
          <t>Passed</t>
        </is>
      </c>
      <c r="J5" s="23" t="inlineStr">
        <is>
          <t>Medium</t>
        </is>
      </c>
      <c r="K5" s="23" t="inlineStr">
        <is>
          <t>Functional</t>
        </is>
      </c>
      <c r="L5" s="23" t="inlineStr">
        <is>
          <t>QA Team</t>
        </is>
      </c>
      <c r="M5" s="23" t="inlineStr"/>
      <c r="N5" s="23" t="inlineStr"/>
    </row>
    <row r="6" ht="46" customHeight="1">
      <c r="A6" s="24" t="inlineStr">
        <is>
          <t>EDI-002</t>
        </is>
      </c>
      <c r="B6" s="24" t="inlineStr">
        <is>
          <t>Navigation</t>
        </is>
      </c>
      <c r="C6" s="24" t="inlineStr">
        <is>
          <t>Verify Back button</t>
        </is>
      </c>
      <c r="D6" s="24" t="inlineStr"/>
      <c r="E6" s="24" t="inlineStr">
        <is>
          <t>Click Back button</t>
        </is>
      </c>
      <c r="F6" s="24" t="inlineStr"/>
      <c r="G6" s="24" t="inlineStr">
        <is>
          <t>User returns to Engineers page</t>
        </is>
      </c>
      <c r="H6" s="24" t="inlineStr">
        <is>
          <t>User returns to Engineers page</t>
        </is>
      </c>
      <c r="I6" s="24" t="inlineStr">
        <is>
          <t>Passed</t>
        </is>
      </c>
      <c r="J6" s="24" t="inlineStr">
        <is>
          <t>Medium</t>
        </is>
      </c>
      <c r="K6" s="24" t="inlineStr">
        <is>
          <t>Functional</t>
        </is>
      </c>
      <c r="L6" s="24" t="inlineStr">
        <is>
          <t>QA Team</t>
        </is>
      </c>
      <c r="M6" s="24" t="inlineStr"/>
      <c r="N6" s="24" t="inlineStr"/>
    </row>
    <row r="7" ht="46" customHeight="1">
      <c r="A7" s="23" t="inlineStr">
        <is>
          <t>EDI-003</t>
        </is>
      </c>
      <c r="B7" s="23" t="inlineStr">
        <is>
          <t>First Name</t>
        </is>
      </c>
      <c r="C7" s="23" t="inlineStr">
        <is>
          <t>Edit first name</t>
        </is>
      </c>
      <c r="D7" s="23" t="inlineStr"/>
      <c r="E7" s="23" t="inlineStr">
        <is>
          <t>Change first name and save</t>
        </is>
      </c>
      <c r="F7" s="23" t="inlineStr"/>
      <c r="G7" s="23" t="inlineStr">
        <is>
          <t>Updated first name is saved</t>
        </is>
      </c>
      <c r="H7" s="23" t="inlineStr">
        <is>
          <t>Updated first name is saved</t>
        </is>
      </c>
      <c r="I7" s="23" t="inlineStr">
        <is>
          <t>Passed</t>
        </is>
      </c>
      <c r="J7" s="23" t="inlineStr">
        <is>
          <t>Medium</t>
        </is>
      </c>
      <c r="K7" s="23" t="inlineStr">
        <is>
          <t>Functional</t>
        </is>
      </c>
      <c r="L7" s="23" t="inlineStr">
        <is>
          <t>QA Team</t>
        </is>
      </c>
      <c r="M7" s="23" t="inlineStr"/>
      <c r="N7" s="23" t="inlineStr"/>
    </row>
    <row r="8" ht="46" customHeight="1">
      <c r="A8" s="24" t="inlineStr">
        <is>
          <t>EDI-004</t>
        </is>
      </c>
      <c r="B8" s="24" t="inlineStr">
        <is>
          <t>Last Name</t>
        </is>
      </c>
      <c r="C8" s="24" t="inlineStr">
        <is>
          <t>Edit last name</t>
        </is>
      </c>
      <c r="D8" s="24" t="inlineStr"/>
      <c r="E8" s="24" t="inlineStr">
        <is>
          <t>Change last name and save</t>
        </is>
      </c>
      <c r="F8" s="24" t="inlineStr"/>
      <c r="G8" s="24" t="inlineStr">
        <is>
          <t>Updated last name is saved</t>
        </is>
      </c>
      <c r="H8" s="24" t="inlineStr">
        <is>
          <t>Updated last name is saved</t>
        </is>
      </c>
      <c r="I8" s="24" t="inlineStr">
        <is>
          <t>Passed</t>
        </is>
      </c>
      <c r="J8" s="24" t="inlineStr">
        <is>
          <t>Medium</t>
        </is>
      </c>
      <c r="K8" s="24" t="inlineStr">
        <is>
          <t>Functional</t>
        </is>
      </c>
      <c r="L8" s="24" t="inlineStr">
        <is>
          <t>QA Team</t>
        </is>
      </c>
      <c r="M8" s="24" t="inlineStr"/>
      <c r="N8" s="24" t="inlineStr"/>
    </row>
    <row r="9" ht="46" customHeight="1">
      <c r="A9" s="23" t="inlineStr">
        <is>
          <t>EDI-005</t>
        </is>
      </c>
      <c r="B9" s="23" t="inlineStr">
        <is>
          <t>Email</t>
        </is>
      </c>
      <c r="C9" s="23" t="inlineStr">
        <is>
          <t>Edit email</t>
        </is>
      </c>
      <c r="D9" s="23" t="inlineStr"/>
      <c r="E9" s="23" t="inlineStr">
        <is>
          <t>Enter valid email and save</t>
        </is>
      </c>
      <c r="F9" s="23" t="inlineStr"/>
      <c r="G9" s="23" t="inlineStr">
        <is>
          <t>Updated email is saved</t>
        </is>
      </c>
      <c r="H9" s="23" t="inlineStr">
        <is>
          <t>Updated email is saved</t>
        </is>
      </c>
      <c r="I9" s="23" t="inlineStr">
        <is>
          <t>Passed</t>
        </is>
      </c>
      <c r="J9" s="23" t="inlineStr">
        <is>
          <t>Medium</t>
        </is>
      </c>
      <c r="K9" s="23" t="inlineStr">
        <is>
          <t>Functional</t>
        </is>
      </c>
      <c r="L9" s="23" t="inlineStr">
        <is>
          <t>QA Team</t>
        </is>
      </c>
      <c r="M9" s="23" t="inlineStr"/>
      <c r="N9" s="23" t="inlineStr"/>
    </row>
    <row r="10" ht="46" customHeight="1">
      <c r="A10" s="24" t="inlineStr">
        <is>
          <t>EDI-006</t>
        </is>
      </c>
      <c r="B10" s="24" t="inlineStr">
        <is>
          <t>Email Validation</t>
        </is>
      </c>
      <c r="C10" s="24" t="inlineStr">
        <is>
          <t>Enter invalid email</t>
        </is>
      </c>
      <c r="D10" s="24" t="inlineStr"/>
      <c r="E10" s="24" t="inlineStr">
        <is>
          <t>Type invalid email format</t>
        </is>
      </c>
      <c r="F10" s="24" t="inlineStr"/>
      <c r="G10" s="24" t="inlineStr">
        <is>
          <t>Validation message appears</t>
        </is>
      </c>
      <c r="H10" s="24" t="inlineStr">
        <is>
          <t>continue without error massage</t>
        </is>
      </c>
      <c r="I10" s="24" t="inlineStr">
        <is>
          <t>Failed</t>
        </is>
      </c>
      <c r="J10" s="24" t="inlineStr">
        <is>
          <t>Medium</t>
        </is>
      </c>
      <c r="K10" s="24" t="inlineStr">
        <is>
          <t>Functional</t>
        </is>
      </c>
      <c r="L10" s="24" t="inlineStr">
        <is>
          <t>QA Team</t>
        </is>
      </c>
      <c r="M10" s="24" t="inlineStr"/>
      <c r="N10" s="24" t="inlineStr"/>
    </row>
    <row r="11" ht="46" customHeight="1">
      <c r="A11" s="23" t="inlineStr">
        <is>
          <t>EDI-007</t>
        </is>
      </c>
      <c r="B11" s="23" t="inlineStr">
        <is>
          <t>Address</t>
        </is>
      </c>
      <c r="C11" s="23" t="inlineStr">
        <is>
          <t>Edit address</t>
        </is>
      </c>
      <c r="D11" s="23" t="inlineStr"/>
      <c r="E11" s="23" t="inlineStr">
        <is>
          <t>Update address field</t>
        </is>
      </c>
      <c r="F11" s="23" t="inlineStr"/>
      <c r="G11" s="23" t="inlineStr">
        <is>
          <t>Address is saved successfully</t>
        </is>
      </c>
      <c r="H11" s="23" t="inlineStr">
        <is>
          <t>Address is saved successfully</t>
        </is>
      </c>
      <c r="I11" s="23" t="inlineStr">
        <is>
          <t>Passed</t>
        </is>
      </c>
      <c r="J11" s="23" t="inlineStr">
        <is>
          <t>Medium</t>
        </is>
      </c>
      <c r="K11" s="23" t="inlineStr">
        <is>
          <t>Functional</t>
        </is>
      </c>
      <c r="L11" s="23" t="inlineStr">
        <is>
          <t>QA Team</t>
        </is>
      </c>
      <c r="M11" s="23" t="inlineStr"/>
      <c r="N11" s="23" t="inlineStr"/>
    </row>
    <row r="12" ht="46" customHeight="1">
      <c r="A12" s="24" t="inlineStr">
        <is>
          <t>EDI-008</t>
        </is>
      </c>
      <c r="B12" s="24" t="inlineStr">
        <is>
          <t>Education</t>
        </is>
      </c>
      <c r="C12" s="24" t="inlineStr">
        <is>
          <t>Edit education</t>
        </is>
      </c>
      <c r="D12" s="24" t="inlineStr"/>
      <c r="E12" s="24" t="inlineStr">
        <is>
          <t>Update education field</t>
        </is>
      </c>
      <c r="F12" s="24" t="inlineStr"/>
      <c r="G12" s="24" t="inlineStr">
        <is>
          <t>Education is saved</t>
        </is>
      </c>
      <c r="H12" s="24" t="inlineStr">
        <is>
          <t>Education is saved</t>
        </is>
      </c>
      <c r="I12" s="24" t="inlineStr">
        <is>
          <t>Passed</t>
        </is>
      </c>
      <c r="J12" s="24" t="inlineStr">
        <is>
          <t>Medium</t>
        </is>
      </c>
      <c r="K12" s="24" t="inlineStr">
        <is>
          <t>Functional</t>
        </is>
      </c>
      <c r="L12" s="24" t="inlineStr">
        <is>
          <t>QA Team</t>
        </is>
      </c>
      <c r="M12" s="24" t="inlineStr"/>
      <c r="N12" s="24" t="inlineStr"/>
    </row>
    <row r="13" ht="46" customHeight="1">
      <c r="A13" s="23" t="inlineStr">
        <is>
          <t>EDI-009</t>
        </is>
      </c>
      <c r="B13" s="23" t="inlineStr">
        <is>
          <t>Employment History</t>
        </is>
      </c>
      <c r="C13" s="23" t="inlineStr">
        <is>
          <t>Edit employment history</t>
        </is>
      </c>
      <c r="D13" s="23" t="inlineStr"/>
      <c r="E13" s="23" t="inlineStr">
        <is>
          <t>Update employment history field</t>
        </is>
      </c>
      <c r="F13" s="23" t="inlineStr"/>
      <c r="G13" s="23" t="inlineStr">
        <is>
          <t>Employment history is saved</t>
        </is>
      </c>
      <c r="H13" s="23" t="inlineStr">
        <is>
          <t>Employment history is saved</t>
        </is>
      </c>
      <c r="I13" s="23" t="inlineStr">
        <is>
          <t>Passed</t>
        </is>
      </c>
      <c r="J13" s="23" t="inlineStr">
        <is>
          <t>Medium</t>
        </is>
      </c>
      <c r="K13" s="23" t="inlineStr">
        <is>
          <t>Functional</t>
        </is>
      </c>
      <c r="L13" s="23" t="inlineStr">
        <is>
          <t>QA Team</t>
        </is>
      </c>
      <c r="M13" s="23" t="inlineStr"/>
      <c r="N13" s="23" t="inlineStr"/>
    </row>
    <row r="14" ht="46" customHeight="1">
      <c r="A14" s="24" t="inlineStr">
        <is>
          <t>EDI-010</t>
        </is>
      </c>
      <c r="B14" s="24" t="inlineStr">
        <is>
          <t>Experience</t>
        </is>
      </c>
      <c r="C14" s="24" t="inlineStr">
        <is>
          <t>Edit experience</t>
        </is>
      </c>
      <c r="D14" s="24" t="inlineStr"/>
      <c r="E14" s="24" t="inlineStr">
        <is>
          <t>Enter valid years of experience</t>
        </is>
      </c>
      <c r="F14" s="24" t="inlineStr"/>
      <c r="G14" s="24" t="inlineStr">
        <is>
          <t>Experience is updated</t>
        </is>
      </c>
      <c r="H14" s="24" t="inlineStr">
        <is>
          <t>Experience is updated</t>
        </is>
      </c>
      <c r="I14" s="24" t="inlineStr">
        <is>
          <t>Passed</t>
        </is>
      </c>
      <c r="J14" s="24" t="inlineStr">
        <is>
          <t>Medium</t>
        </is>
      </c>
      <c r="K14" s="24" t="inlineStr">
        <is>
          <t>Functional</t>
        </is>
      </c>
      <c r="L14" s="24" t="inlineStr">
        <is>
          <t>QA Team</t>
        </is>
      </c>
      <c r="M14" s="24" t="inlineStr"/>
      <c r="N14" s="24" t="inlineStr"/>
    </row>
    <row r="15" ht="46" customHeight="1">
      <c r="A15" s="23" t="inlineStr">
        <is>
          <t>EDI-011</t>
        </is>
      </c>
      <c r="B15" s="23" t="inlineStr">
        <is>
          <t>Experience Validation</t>
        </is>
      </c>
      <c r="C15" s="23" t="inlineStr">
        <is>
          <t>Enter invalid experience</t>
        </is>
      </c>
      <c r="D15" s="23" t="inlineStr"/>
      <c r="E15" s="23" t="inlineStr">
        <is>
          <t>Enter negative or high number</t>
        </is>
      </c>
      <c r="F15" s="23" t="inlineStr"/>
      <c r="G15" s="23" t="inlineStr">
        <is>
          <t>Validation message appears</t>
        </is>
      </c>
      <c r="H15" s="23" t="inlineStr">
        <is>
          <t>continue without error massage</t>
        </is>
      </c>
      <c r="I15" s="23" t="inlineStr">
        <is>
          <t>Failed</t>
        </is>
      </c>
      <c r="J15" s="23" t="inlineStr">
        <is>
          <t>Medium</t>
        </is>
      </c>
      <c r="K15" s="23" t="inlineStr">
        <is>
          <t>Functional</t>
        </is>
      </c>
      <c r="L15" s="23" t="inlineStr">
        <is>
          <t>QA Team</t>
        </is>
      </c>
      <c r="M15" s="23" t="inlineStr"/>
      <c r="N15" s="23" t="inlineStr"/>
    </row>
    <row r="16" ht="46" customHeight="1">
      <c r="A16" s="24" t="inlineStr">
        <is>
          <t>EDI-012</t>
        </is>
      </c>
      <c r="B16" s="24" t="inlineStr">
        <is>
          <t>Save Changes</t>
        </is>
      </c>
      <c r="C16" s="24" t="inlineStr">
        <is>
          <t>Save valid changes</t>
        </is>
      </c>
      <c r="D16" s="24" t="inlineStr"/>
      <c r="E16" s="24" t="inlineStr">
        <is>
          <t>Update fields and click Save Change</t>
        </is>
      </c>
      <c r="F16" s="24" t="inlineStr"/>
      <c r="G16" s="24" t="inlineStr">
        <is>
          <t>Changes are saved successfully</t>
        </is>
      </c>
      <c r="H16" s="24" t="inlineStr">
        <is>
          <t>Changes are saved successfully</t>
        </is>
      </c>
      <c r="I16" s="24" t="inlineStr">
        <is>
          <t>Passed</t>
        </is>
      </c>
      <c r="J16" s="24" t="inlineStr">
        <is>
          <t>Medium</t>
        </is>
      </c>
      <c r="K16" s="24" t="inlineStr">
        <is>
          <t>Functional</t>
        </is>
      </c>
      <c r="L16" s="24" t="inlineStr">
        <is>
          <t>QA Team</t>
        </is>
      </c>
      <c r="M16" s="24" t="inlineStr"/>
      <c r="N16" s="24" t="inlineStr"/>
    </row>
    <row r="17" ht="46" customHeight="1">
      <c r="A17" s="23" t="inlineStr">
        <is>
          <t>EDI-013</t>
        </is>
      </c>
      <c r="B17" s="23" t="inlineStr">
        <is>
          <t>Validation</t>
        </is>
      </c>
      <c r="C17" s="23" t="inlineStr">
        <is>
          <t>Save empty required fields</t>
        </is>
      </c>
      <c r="D17" s="23" t="inlineStr"/>
      <c r="E17" s="23" t="inlineStr">
        <is>
          <t>Clear required fields and save</t>
        </is>
      </c>
      <c r="F17" s="23" t="inlineStr"/>
      <c r="G17" s="23" t="inlineStr">
        <is>
          <t>Validation messages appear</t>
        </is>
      </c>
      <c r="H17" s="23" t="inlineStr">
        <is>
          <t>Validation messages appear</t>
        </is>
      </c>
      <c r="I17" s="23" t="inlineStr">
        <is>
          <t>Passed</t>
        </is>
      </c>
      <c r="J17" s="23" t="inlineStr">
        <is>
          <t>Medium</t>
        </is>
      </c>
      <c r="K17" s="23" t="inlineStr">
        <is>
          <t>Functional</t>
        </is>
      </c>
      <c r="L17" s="23" t="inlineStr">
        <is>
          <t>QA Team</t>
        </is>
      </c>
      <c r="M17" s="23" t="inlineStr"/>
      <c r="N17" s="23" t="inlineStr"/>
    </row>
    <row r="18" ht="46" customHeight="1">
      <c r="A18" s="24" t="inlineStr">
        <is>
          <t>EDI-014</t>
        </is>
      </c>
      <c r="B18" s="24" t="inlineStr">
        <is>
          <t>Database/API</t>
        </is>
      </c>
      <c r="C18" s="24" t="inlineStr">
        <is>
          <t>Verify updated data</t>
        </is>
      </c>
      <c r="D18" s="24" t="inlineStr"/>
      <c r="E18" s="24" t="inlineStr">
        <is>
          <t>Save changes and check database/API</t>
        </is>
      </c>
      <c r="F18" s="24" t="inlineStr"/>
      <c r="G18" s="24" t="inlineStr">
        <is>
          <t>Stored data matches changes</t>
        </is>
      </c>
      <c r="H18" s="24" t="inlineStr">
        <is>
          <t>Stored data matches changes</t>
        </is>
      </c>
      <c r="I18" s="24" t="inlineStr">
        <is>
          <t>Passed</t>
        </is>
      </c>
      <c r="J18" s="24" t="inlineStr">
        <is>
          <t>Medium</t>
        </is>
      </c>
      <c r="K18" s="24" t="inlineStr">
        <is>
          <t>Functional</t>
        </is>
      </c>
      <c r="L18" s="24" t="inlineStr">
        <is>
          <t>QA Team</t>
        </is>
      </c>
      <c r="M18" s="24" t="inlineStr"/>
      <c r="N18" s="24" t="inlineStr"/>
    </row>
    <row r="19" ht="46" customHeight="1">
      <c r="A19" s="23" t="inlineStr">
        <is>
          <t>EDI-015</t>
        </is>
      </c>
      <c r="B19" s="23" t="inlineStr">
        <is>
          <t>Responsive</t>
        </is>
      </c>
      <c r="C19" s="23" t="inlineStr">
        <is>
          <t>Check responsive design</t>
        </is>
      </c>
      <c r="D19" s="23" t="inlineStr"/>
      <c r="E19" s="23" t="inlineStr">
        <is>
          <t>Open page on mobile/tablet</t>
        </is>
      </c>
      <c r="F19" s="23" t="inlineStr"/>
      <c r="G19" s="23" t="inlineStr">
        <is>
          <t>Layout remains usable</t>
        </is>
      </c>
      <c r="H19" s="23" t="inlineStr">
        <is>
          <t>Layout remains usable</t>
        </is>
      </c>
      <c r="I19" s="23" t="inlineStr">
        <is>
          <t>Passed</t>
        </is>
      </c>
      <c r="J19" s="23" t="inlineStr">
        <is>
          <t>Medium</t>
        </is>
      </c>
      <c r="K19" s="23" t="inlineStr">
        <is>
          <t>Functional</t>
        </is>
      </c>
      <c r="L19" s="23" t="inlineStr">
        <is>
          <t>QA Team</t>
        </is>
      </c>
      <c r="M19" s="23" t="inlineStr"/>
      <c r="N19" s="23" t="inlineStr"/>
    </row>
    <row r="20" ht="46" customHeight="1">
      <c r="A20" s="24" t="inlineStr">
        <is>
          <t>EDI-016</t>
        </is>
      </c>
      <c r="B20" s="24" t="inlineStr">
        <is>
          <t>Edit Engineer</t>
        </is>
      </c>
      <c r="C20" s="24" t="inlineStr">
        <is>
          <t>Route smoke test</t>
        </is>
      </c>
      <c r="D20" s="24" t="inlineStr"/>
      <c r="E20" s="24" t="inlineStr">
        <is>
          <t>The Angular route resolves without a 404.</t>
        </is>
      </c>
      <c r="F20" s="24" t="inlineStr"/>
      <c r="G20" s="24" t="inlineStr">
        <is>
          <t>Development server running</t>
        </is>
      </c>
      <c r="H20" s="24" t="inlineStr">
        <is>
          <t>Open the implemented route on localhost:4200</t>
        </is>
      </c>
      <c r="I20" s="24" t="inlineStr">
        <is>
          <t>Not Run</t>
        </is>
      </c>
      <c r="J20" s="24" t="inlineStr">
        <is>
          <t>The Angular route resolves without a 404.</t>
        </is>
      </c>
      <c r="K20" s="24" t="inlineStr">
        <is>
          <t>Functional</t>
        </is>
      </c>
      <c r="L20" s="24" t="inlineStr">
        <is>
          <t>Not executed: requires isolated test data, credentials, or controlled API failure.</t>
        </is>
      </c>
      <c r="M20" s="24" t="inlineStr">
        <is>
          <t>Not Run</t>
        </is>
      </c>
      <c r="N20" s="24" t="inlineStr">
        <is>
          <t>Medium</t>
        </is>
      </c>
    </row>
    <row r="21" ht="46" customHeight="1">
      <c r="A21" s="23" t="inlineStr">
        <is>
          <t>EDI-017</t>
        </is>
      </c>
      <c r="B21" s="23" t="inlineStr">
        <is>
          <t>Edit Engineer</t>
        </is>
      </c>
      <c r="C21" s="23" t="inlineStr">
        <is>
          <t>Read-only API availability</t>
        </is>
      </c>
      <c r="D21" s="23" t="inlineStr"/>
      <c r="E21" s="23" t="inlineStr">
        <is>
          <t>Read-only data requests complete or a user-visible error is shown.</t>
        </is>
      </c>
      <c r="F21" s="23" t="inlineStr"/>
      <c r="G21" s="23" t="inlineStr">
        <is>
          <t>Local API at localhost:8080</t>
        </is>
      </c>
      <c r="H21" s="23" t="inlineStr">
        <is>
          <t>Load page with the local API running</t>
        </is>
      </c>
      <c r="I21" s="23" t="inlineStr">
        <is>
          <t>Not Run</t>
        </is>
      </c>
      <c r="J21" s="23" t="inlineStr">
        <is>
          <t>Read-only data requests complete or a user-visible error is shown.</t>
        </is>
      </c>
      <c r="K21" s="23" t="inlineStr">
        <is>
          <t>Functional</t>
        </is>
      </c>
      <c r="L21" s="23" t="inlineStr">
        <is>
          <t>Not executed: requires isolated test data, credentials, or controlled API failure.</t>
        </is>
      </c>
      <c r="M21" s="23" t="inlineStr">
        <is>
          <t>Not Run</t>
        </is>
      </c>
      <c r="N21" s="23" t="inlineStr">
        <is>
          <t>Medium</t>
        </is>
      </c>
    </row>
    <row r="22" ht="46" customHeight="1">
      <c r="A22" s="24" t="inlineStr">
        <is>
          <t>EDI-018</t>
        </is>
      </c>
      <c r="B22" s="24" t="inlineStr">
        <is>
          <t>Edit Engineer</t>
        </is>
      </c>
      <c r="C22" s="24" t="inlineStr">
        <is>
          <t>Data-changing regression</t>
        </is>
      </c>
      <c r="D22" s="24" t="inlineStr"/>
      <c r="E22" s="24" t="inlineStr">
        <is>
          <t>Only the test record is changed and can be cleaned up.</t>
        </is>
      </c>
      <c r="F22" s="24" t="inlineStr"/>
      <c r="G22" s="24" t="inlineStr">
        <is>
          <t>Dedicated test database and account</t>
        </is>
      </c>
      <c r="H22" s="24" t="inlineStr">
        <is>
          <t>Create, edit, or delete a record using an isolated test account</t>
        </is>
      </c>
      <c r="I22" s="24" t="inlineStr">
        <is>
          <t>Not Run</t>
        </is>
      </c>
      <c r="J22" s="24" t="inlineStr">
        <is>
          <t>Only the test record is changed and can be cleaned up.</t>
        </is>
      </c>
      <c r="K22" s="24" t="inlineStr">
        <is>
          <t>Functional</t>
        </is>
      </c>
      <c r="L22" s="24" t="inlineStr">
        <is>
          <t>Not executed: requires isolated test data, credentials, or controlled API failure.</t>
        </is>
      </c>
      <c r="M22" s="24" t="inlineStr">
        <is>
          <t>Not Run</t>
        </is>
      </c>
      <c r="N22" s="24" t="inlineStr">
        <is>
          <t>Medium</t>
        </is>
      </c>
    </row>
  </sheetData>
  <autoFilter ref="A4:N22"/>
  <mergeCells count="2">
    <mergeCell ref="A2:N2"/>
    <mergeCell ref="A1:N1"/>
  </mergeCells>
  <conditionalFormatting sqref="I5:I22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"Not Run"</formula>
    </cfRule>
    <cfRule type="cellIs" priority="4" operator="equal" dxfId="3">
      <formula>"Blocked"</formula>
    </cfRule>
  </conditionalFormatting>
  <dataValidations count="1">
    <dataValidation sqref="I5:I22" showDropDown="0" showInputMessage="0" showErrorMessage="0" allowBlank="0" type="list">
      <formula1>"Passed,Failed,Blocked,Not Run"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28" customWidth="1" min="4" max="4"/>
    <col width="40" customWidth="1" min="5" max="5"/>
    <col width="22" customWidth="1" min="6" max="6"/>
    <col width="38" customWidth="1" min="7" max="7"/>
    <col width="38" customWidth="1" min="8" max="8"/>
    <col width="14" customWidth="1" min="9" max="9"/>
    <col width="12" customWidth="1" min="10" max="10"/>
    <col width="15" customWidth="1" min="11" max="11"/>
    <col width="16" customWidth="1" min="12" max="12"/>
    <col width="16" customWidth="1" min="13" max="13"/>
    <col width="30" customWidth="1" min="14" max="14"/>
  </cols>
  <sheetData>
    <row r="1" ht="38" customHeight="1">
      <c r="A1" s="1" t="inlineStr">
        <is>
          <t>Engineer All Details</t>
        </is>
      </c>
    </row>
    <row r="2" ht="24" customHeight="1">
      <c r="A2" s="2" t="inlineStr">
        <is>
          <t>NTG Admin Module • QA test cases • Last updated: 2026-07-20</t>
        </is>
      </c>
    </row>
    <row r="4" ht="30" customHeight="1">
      <c r="A4" s="22" t="inlineStr">
        <is>
          <t>Test ID</t>
        </is>
      </c>
      <c r="B4" s="22" t="inlineStr">
        <is>
          <t>Feature</t>
        </is>
      </c>
      <c r="C4" s="22" t="inlineStr">
        <is>
          <t>Test Scenario</t>
        </is>
      </c>
      <c r="D4" s="22" t="inlineStr">
        <is>
          <t>Preconditions</t>
        </is>
      </c>
      <c r="E4" s="22" t="inlineStr">
        <is>
          <t>Test Steps</t>
        </is>
      </c>
      <c r="F4" s="22" t="inlineStr">
        <is>
          <t>Test Data</t>
        </is>
      </c>
      <c r="G4" s="22" t="inlineStr">
        <is>
          <t>Expected Result</t>
        </is>
      </c>
      <c r="H4" s="22" t="inlineStr">
        <is>
          <t>Actual Result</t>
        </is>
      </c>
      <c r="I4" s="22" t="inlineStr">
        <is>
          <t>Status</t>
        </is>
      </c>
      <c r="J4" s="22" t="inlineStr">
        <is>
          <t>Priority</t>
        </is>
      </c>
      <c r="K4" s="22" t="inlineStr">
        <is>
          <t>Test Type</t>
        </is>
      </c>
      <c r="L4" s="22" t="inlineStr">
        <is>
          <t>Tester</t>
        </is>
      </c>
      <c r="M4" s="22" t="inlineStr">
        <is>
          <t>Execution Date</t>
        </is>
      </c>
      <c r="N4" s="22" t="inlineStr">
        <is>
          <t>Notes</t>
        </is>
      </c>
    </row>
    <row r="5" ht="46" customHeight="1">
      <c r="A5" s="23" t="inlineStr">
        <is>
          <t>ENG-001</t>
        </is>
      </c>
      <c r="B5" s="23" t="inlineStr">
        <is>
          <t>Page Load</t>
        </is>
      </c>
      <c r="C5" s="23" t="inlineStr">
        <is>
          <t>Verify Engineer Details page opens</t>
        </is>
      </c>
      <c r="D5" s="23" t="inlineStr"/>
      <c r="E5" s="23" t="inlineStr">
        <is>
          <t>Open the page</t>
        </is>
      </c>
      <c r="F5" s="23" t="inlineStr"/>
      <c r="G5" s="23" t="inlineStr">
        <is>
          <t>Page loads successfully</t>
        </is>
      </c>
      <c r="H5" s="23" t="inlineStr">
        <is>
          <t>Page loads successfully</t>
        </is>
      </c>
      <c r="I5" s="23" t="inlineStr">
        <is>
          <t>Passed</t>
        </is>
      </c>
      <c r="J5" s="23" t="inlineStr">
        <is>
          <t>Medium</t>
        </is>
      </c>
      <c r="K5" s="23" t="inlineStr">
        <is>
          <t>Functional</t>
        </is>
      </c>
      <c r="L5" s="23" t="inlineStr">
        <is>
          <t>QA Team</t>
        </is>
      </c>
      <c r="M5" s="23" t="inlineStr"/>
      <c r="N5" s="23" t="inlineStr"/>
    </row>
    <row r="6" ht="46" customHeight="1">
      <c r="A6" s="24" t="inlineStr">
        <is>
          <t>ENG-002</t>
        </is>
      </c>
      <c r="B6" s="24" t="inlineStr">
        <is>
          <t>Search</t>
        </is>
      </c>
      <c r="C6" s="24" t="inlineStr">
        <is>
          <t>Search using valid text</t>
        </is>
      </c>
      <c r="D6" s="24" t="inlineStr"/>
      <c r="E6" s="24" t="inlineStr">
        <is>
          <t>Enter text in search field</t>
        </is>
      </c>
      <c r="F6" s="24" t="inlineStr"/>
      <c r="G6" s="24" t="inlineStr">
        <is>
          <t>Matching results are displayed</t>
        </is>
      </c>
      <c r="H6" s="24" t="inlineStr">
        <is>
          <t>the search doesn't work</t>
        </is>
      </c>
      <c r="I6" s="24" t="inlineStr">
        <is>
          <t>Failed</t>
        </is>
      </c>
      <c r="J6" s="24" t="inlineStr">
        <is>
          <t>Medium</t>
        </is>
      </c>
      <c r="K6" s="24" t="inlineStr">
        <is>
          <t>Functional</t>
        </is>
      </c>
      <c r="L6" s="24" t="inlineStr">
        <is>
          <t>QA Team</t>
        </is>
      </c>
      <c r="M6" s="24" t="inlineStr"/>
      <c r="N6" s="24" t="inlineStr"/>
    </row>
    <row r="7" ht="46" customHeight="1">
      <c r="A7" s="23" t="inlineStr">
        <is>
          <t>ENG-003</t>
        </is>
      </c>
      <c r="B7" s="23" t="inlineStr">
        <is>
          <t>Navigation</t>
        </is>
      </c>
      <c r="C7" s="23" t="inlineStr">
        <is>
          <t>Verify Back button</t>
        </is>
      </c>
      <c r="D7" s="23" t="inlineStr"/>
      <c r="E7" s="23" t="inlineStr">
        <is>
          <t>Click Back button</t>
        </is>
      </c>
      <c r="F7" s="23" t="inlineStr"/>
      <c r="G7" s="23" t="inlineStr">
        <is>
          <t>User returns to previous page</t>
        </is>
      </c>
      <c r="H7" s="23" t="inlineStr">
        <is>
          <t>User returns to previous page</t>
        </is>
      </c>
      <c r="I7" s="23" t="inlineStr">
        <is>
          <t>Passed</t>
        </is>
      </c>
      <c r="J7" s="23" t="inlineStr">
        <is>
          <t>Medium</t>
        </is>
      </c>
      <c r="K7" s="23" t="inlineStr">
        <is>
          <t>Functional</t>
        </is>
      </c>
      <c r="L7" s="23" t="inlineStr">
        <is>
          <t>QA Team</t>
        </is>
      </c>
      <c r="M7" s="23" t="inlineStr"/>
      <c r="N7" s="23" t="inlineStr"/>
    </row>
    <row r="8" ht="46" customHeight="1">
      <c r="A8" s="24" t="inlineStr">
        <is>
          <t>ENG-004</t>
        </is>
      </c>
      <c r="B8" s="24" t="inlineStr">
        <is>
          <t>Profile</t>
        </is>
      </c>
      <c r="C8" s="24" t="inlineStr">
        <is>
          <t>Verify profile picture</t>
        </is>
      </c>
      <c r="D8" s="24" t="inlineStr"/>
      <c r="E8" s="24" t="inlineStr">
        <is>
          <t>Check profile image section</t>
        </is>
      </c>
      <c r="F8" s="24" t="inlineStr"/>
      <c r="G8" s="24" t="inlineStr">
        <is>
          <t>Profile image is displayed</t>
        </is>
      </c>
      <c r="H8" s="24" t="inlineStr">
        <is>
          <t>Profile image is displayed</t>
        </is>
      </c>
      <c r="I8" s="24" t="inlineStr">
        <is>
          <t>Passed</t>
        </is>
      </c>
      <c r="J8" s="24" t="inlineStr">
        <is>
          <t>Medium</t>
        </is>
      </c>
      <c r="K8" s="24" t="inlineStr">
        <is>
          <t>Functional</t>
        </is>
      </c>
      <c r="L8" s="24" t="inlineStr">
        <is>
          <t>QA Team</t>
        </is>
      </c>
      <c r="M8" s="24" t="inlineStr"/>
      <c r="N8" s="24" t="inlineStr"/>
    </row>
    <row r="9" ht="46" customHeight="1">
      <c r="A9" s="23" t="inlineStr">
        <is>
          <t>ENG-005</t>
        </is>
      </c>
      <c r="B9" s="23" t="inlineStr">
        <is>
          <t>Profile</t>
        </is>
      </c>
      <c r="C9" s="23" t="inlineStr">
        <is>
          <t>Verify engineer information</t>
        </is>
      </c>
      <c r="D9" s="23" t="inlineStr"/>
      <c r="E9" s="23" t="inlineStr">
        <is>
          <t>Check engineer name, email and education</t>
        </is>
      </c>
      <c r="F9" s="23" t="inlineStr"/>
      <c r="G9" s="23" t="inlineStr">
        <is>
          <t>Correct information is displayed</t>
        </is>
      </c>
      <c r="H9" s="23" t="inlineStr">
        <is>
          <t>Correct information is displayed</t>
        </is>
      </c>
      <c r="I9" s="23" t="inlineStr">
        <is>
          <t>Passed</t>
        </is>
      </c>
      <c r="J9" s="23" t="inlineStr">
        <is>
          <t>Medium</t>
        </is>
      </c>
      <c r="K9" s="23" t="inlineStr">
        <is>
          <t>Functional</t>
        </is>
      </c>
      <c r="L9" s="23" t="inlineStr">
        <is>
          <t>QA Team</t>
        </is>
      </c>
      <c r="M9" s="23" t="inlineStr"/>
      <c r="N9" s="23" t="inlineStr"/>
    </row>
    <row r="10" ht="46" customHeight="1">
      <c r="A10" s="24" t="inlineStr">
        <is>
          <t>ENG-006</t>
        </is>
      </c>
      <c r="B10" s="24" t="inlineStr">
        <is>
          <t>Students Card</t>
        </is>
      </c>
      <c r="C10" s="24" t="inlineStr">
        <is>
          <t>Verify students count</t>
        </is>
      </c>
      <c r="D10" s="24" t="inlineStr"/>
      <c r="E10" s="24" t="inlineStr">
        <is>
          <t>Check students card</t>
        </is>
      </c>
      <c r="F10" s="24" t="inlineStr"/>
      <c r="G10" s="24" t="inlineStr">
        <is>
          <t>Correct number of students is shown</t>
        </is>
      </c>
      <c r="H10" s="24" t="inlineStr">
        <is>
          <t>Correct number of students is shown</t>
        </is>
      </c>
      <c r="I10" s="24" t="inlineStr">
        <is>
          <t>Passed</t>
        </is>
      </c>
      <c r="J10" s="24" t="inlineStr">
        <is>
          <t>Medium</t>
        </is>
      </c>
      <c r="K10" s="24" t="inlineStr">
        <is>
          <t>Functional</t>
        </is>
      </c>
      <c r="L10" s="24" t="inlineStr">
        <is>
          <t>QA Team</t>
        </is>
      </c>
      <c r="M10" s="24" t="inlineStr"/>
      <c r="N10" s="24" t="inlineStr"/>
    </row>
    <row r="11" ht="46" customHeight="1">
      <c r="A11" s="23" t="inlineStr">
        <is>
          <t>ENG-007</t>
        </is>
      </c>
      <c r="B11" s="23" t="inlineStr">
        <is>
          <t>Feedback Card</t>
        </is>
      </c>
      <c r="C11" s="23" t="inlineStr">
        <is>
          <t>Verify feedback count</t>
        </is>
      </c>
      <c r="D11" s="23" t="inlineStr"/>
      <c r="E11" s="23" t="inlineStr">
        <is>
          <t>Check feedback card</t>
        </is>
      </c>
      <c r="F11" s="23" t="inlineStr"/>
      <c r="G11" s="23" t="inlineStr">
        <is>
          <t>Correct feedback count is shown</t>
        </is>
      </c>
      <c r="H11" s="23" t="inlineStr">
        <is>
          <t>Correct feedback count is shown</t>
        </is>
      </c>
      <c r="I11" s="23" t="inlineStr">
        <is>
          <t>Passed</t>
        </is>
      </c>
      <c r="J11" s="23" t="inlineStr">
        <is>
          <t>Medium</t>
        </is>
      </c>
      <c r="K11" s="23" t="inlineStr">
        <is>
          <t>Functional</t>
        </is>
      </c>
      <c r="L11" s="23" t="inlineStr">
        <is>
          <t>QA Team</t>
        </is>
      </c>
      <c r="M11" s="23" t="inlineStr"/>
      <c r="N11" s="23" t="inlineStr"/>
    </row>
    <row r="12" ht="46" customHeight="1">
      <c r="A12" s="24" t="inlineStr">
        <is>
          <t>ENG-008</t>
        </is>
      </c>
      <c r="B12" s="24" t="inlineStr">
        <is>
          <t>Rating Card</t>
        </is>
      </c>
      <c r="C12" s="24" t="inlineStr">
        <is>
          <t>Verify rating value</t>
        </is>
      </c>
      <c r="D12" s="24" t="inlineStr"/>
      <c r="E12" s="24" t="inlineStr">
        <is>
          <t>Check rating card</t>
        </is>
      </c>
      <c r="F12" s="24" t="inlineStr"/>
      <c r="G12" s="24" t="inlineStr">
        <is>
          <t>Correct rating value is shown</t>
        </is>
      </c>
      <c r="H12" s="24" t="inlineStr">
        <is>
          <t>Correct rating value is shown</t>
        </is>
      </c>
      <c r="I12" s="24" t="inlineStr">
        <is>
          <t>Passed</t>
        </is>
      </c>
      <c r="J12" s="24" t="inlineStr">
        <is>
          <t>Medium</t>
        </is>
      </c>
      <c r="K12" s="24" t="inlineStr">
        <is>
          <t>Functional</t>
        </is>
      </c>
      <c r="L12" s="24" t="inlineStr">
        <is>
          <t>QA Team</t>
        </is>
      </c>
      <c r="M12" s="24" t="inlineStr"/>
      <c r="N12" s="24" t="inlineStr"/>
    </row>
    <row r="13" ht="46" customHeight="1">
      <c r="A13" s="23" t="inlineStr">
        <is>
          <t>ENG-009</t>
        </is>
      </c>
      <c r="B13" s="23" t="inlineStr">
        <is>
          <t>Tabs</t>
        </is>
      </c>
      <c r="C13" s="23" t="inlineStr">
        <is>
          <t>Open Overview tab</t>
        </is>
      </c>
      <c r="D13" s="23" t="inlineStr"/>
      <c r="E13" s="23" t="inlineStr">
        <is>
          <t>Click Overview tab</t>
        </is>
      </c>
      <c r="F13" s="23" t="inlineStr"/>
      <c r="G13" s="23" t="inlineStr">
        <is>
          <t>Overview content is displayed</t>
        </is>
      </c>
      <c r="H13" s="23" t="inlineStr">
        <is>
          <t>Overview content is displayed</t>
        </is>
      </c>
      <c r="I13" s="23" t="inlineStr">
        <is>
          <t>Passed</t>
        </is>
      </c>
      <c r="J13" s="23" t="inlineStr">
        <is>
          <t>Medium</t>
        </is>
      </c>
      <c r="K13" s="23" t="inlineStr">
        <is>
          <t>Functional</t>
        </is>
      </c>
      <c r="L13" s="23" t="inlineStr">
        <is>
          <t>QA Team</t>
        </is>
      </c>
      <c r="M13" s="23" t="inlineStr"/>
      <c r="N13" s="23" t="inlineStr"/>
    </row>
    <row r="14" ht="46" customHeight="1">
      <c r="A14" s="24" t="inlineStr">
        <is>
          <t>ENG-010</t>
        </is>
      </c>
      <c r="B14" s="24" t="inlineStr">
        <is>
          <t>Tabs</t>
        </is>
      </c>
      <c r="C14" s="24" t="inlineStr">
        <is>
          <t>Open Personal Info tab</t>
        </is>
      </c>
      <c r="D14" s="24" t="inlineStr"/>
      <c r="E14" s="24" t="inlineStr">
        <is>
          <t>Click Personal Info tab</t>
        </is>
      </c>
      <c r="F14" s="24" t="inlineStr"/>
      <c r="G14" s="24" t="inlineStr">
        <is>
          <t>Personal information is displayed</t>
        </is>
      </c>
      <c r="H14" s="24" t="inlineStr">
        <is>
          <t>Personal information is displayed</t>
        </is>
      </c>
      <c r="I14" s="24" t="inlineStr">
        <is>
          <t>Passed</t>
        </is>
      </c>
      <c r="J14" s="24" t="inlineStr">
        <is>
          <t>Medium</t>
        </is>
      </c>
      <c r="K14" s="24" t="inlineStr">
        <is>
          <t>Functional</t>
        </is>
      </c>
      <c r="L14" s="24" t="inlineStr">
        <is>
          <t>QA Team</t>
        </is>
      </c>
      <c r="M14" s="24" t="inlineStr"/>
      <c r="N14" s="24" t="inlineStr"/>
    </row>
    <row r="15" ht="46" customHeight="1">
      <c r="A15" s="23" t="inlineStr">
        <is>
          <t>ENG-011</t>
        </is>
      </c>
      <c r="B15" s="23" t="inlineStr">
        <is>
          <t>About</t>
        </is>
      </c>
      <c r="C15" s="23" t="inlineStr">
        <is>
          <t>Verify About section</t>
        </is>
      </c>
      <c r="D15" s="23" t="inlineStr"/>
      <c r="E15" s="23" t="inlineStr">
        <is>
          <t>Check education, employment history and experience</t>
        </is>
      </c>
      <c r="F15" s="23" t="inlineStr"/>
      <c r="G15" s="23" t="inlineStr">
        <is>
          <t>Correct information is displayed</t>
        </is>
      </c>
      <c r="H15" s="23" t="inlineStr">
        <is>
          <t>Correct information is displayed</t>
        </is>
      </c>
      <c r="I15" s="23" t="inlineStr">
        <is>
          <t>Passed</t>
        </is>
      </c>
      <c r="J15" s="23" t="inlineStr">
        <is>
          <t>Medium</t>
        </is>
      </c>
      <c r="K15" s="23" t="inlineStr">
        <is>
          <t>Functional</t>
        </is>
      </c>
      <c r="L15" s="23" t="inlineStr">
        <is>
          <t>QA Team</t>
        </is>
      </c>
      <c r="M15" s="23" t="inlineStr"/>
      <c r="N15" s="23" t="inlineStr"/>
    </row>
    <row r="16" ht="46" customHeight="1">
      <c r="A16" s="24" t="inlineStr">
        <is>
          <t>ENG-012</t>
        </is>
      </c>
      <c r="B16" s="24" t="inlineStr">
        <is>
          <t>Statistics</t>
        </is>
      </c>
      <c r="C16" s="24" t="inlineStr">
        <is>
          <t>Verify statistics section</t>
        </is>
      </c>
      <c r="D16" s="24" t="inlineStr"/>
      <c r="E16" s="24" t="inlineStr">
        <is>
          <t>Check students, reports and rating values</t>
        </is>
      </c>
      <c r="F16" s="24" t="inlineStr"/>
      <c r="G16" s="24" t="inlineStr">
        <is>
          <t>Statistics are correct</t>
        </is>
      </c>
      <c r="H16" s="24" t="inlineStr">
        <is>
          <t>Statistics are correct</t>
        </is>
      </c>
      <c r="I16" s="24" t="inlineStr">
        <is>
          <t>Passed</t>
        </is>
      </c>
      <c r="J16" s="24" t="inlineStr">
        <is>
          <t>Medium</t>
        </is>
      </c>
      <c r="K16" s="24" t="inlineStr">
        <is>
          <t>Functional</t>
        </is>
      </c>
      <c r="L16" s="24" t="inlineStr">
        <is>
          <t>QA Team</t>
        </is>
      </c>
      <c r="M16" s="24" t="inlineStr"/>
      <c r="N16" s="24" t="inlineStr"/>
    </row>
    <row r="17" ht="46" customHeight="1">
      <c r="A17" s="23" t="inlineStr">
        <is>
          <t>ENG-013</t>
        </is>
      </c>
      <c r="B17" s="23" t="inlineStr">
        <is>
          <t>Send Message</t>
        </is>
      </c>
      <c r="C17" s="23" t="inlineStr">
        <is>
          <t>Verify Send Message button</t>
        </is>
      </c>
      <c r="D17" s="23" t="inlineStr"/>
      <c r="E17" s="23" t="inlineStr">
        <is>
          <t>Click Send Message</t>
        </is>
      </c>
      <c r="F17" s="23" t="inlineStr"/>
      <c r="G17" s="23" t="inlineStr">
        <is>
          <t>Message screen opens</t>
        </is>
      </c>
      <c r="H17" s="23" t="inlineStr">
        <is>
          <t>the button doesn't work</t>
        </is>
      </c>
      <c r="I17" s="23" t="inlineStr">
        <is>
          <t>Failed</t>
        </is>
      </c>
      <c r="J17" s="23" t="inlineStr">
        <is>
          <t>Medium</t>
        </is>
      </c>
      <c r="K17" s="23" t="inlineStr">
        <is>
          <t>Functional</t>
        </is>
      </c>
      <c r="L17" s="23" t="inlineStr">
        <is>
          <t>QA Team</t>
        </is>
      </c>
      <c r="M17" s="23" t="inlineStr"/>
      <c r="N17" s="23" t="inlineStr"/>
    </row>
    <row r="18" ht="46" customHeight="1">
      <c r="A18" s="24" t="inlineStr">
        <is>
          <t>ENG-014</t>
        </is>
      </c>
      <c r="B18" s="24" t="inlineStr">
        <is>
          <t>Database/API</t>
        </is>
      </c>
      <c r="C18" s="24" t="inlineStr">
        <is>
          <t>Validate data with backend</t>
        </is>
      </c>
      <c r="D18" s="24" t="inlineStr"/>
      <c r="E18" s="24" t="inlineStr">
        <is>
          <t>Compare screen data with API/database</t>
        </is>
      </c>
      <c r="F18" s="24" t="inlineStr"/>
      <c r="G18" s="24" t="inlineStr">
        <is>
          <t>Displayed data matches backend</t>
        </is>
      </c>
      <c r="H18" s="24" t="inlineStr">
        <is>
          <t>Displayed data matches backend</t>
        </is>
      </c>
      <c r="I18" s="24" t="inlineStr">
        <is>
          <t>Passed</t>
        </is>
      </c>
      <c r="J18" s="24" t="inlineStr">
        <is>
          <t>Medium</t>
        </is>
      </c>
      <c r="K18" s="24" t="inlineStr">
        <is>
          <t>Functional</t>
        </is>
      </c>
      <c r="L18" s="24" t="inlineStr">
        <is>
          <t>QA Team</t>
        </is>
      </c>
      <c r="M18" s="24" t="inlineStr"/>
      <c r="N18" s="24" t="inlineStr"/>
    </row>
    <row r="19" ht="46" customHeight="1">
      <c r="A19" s="23" t="inlineStr">
        <is>
          <t>ENG-015</t>
        </is>
      </c>
      <c r="B19" s="23" t="inlineStr">
        <is>
          <t>Responsive</t>
        </is>
      </c>
      <c r="C19" s="23" t="inlineStr">
        <is>
          <t>Verify responsive layout</t>
        </is>
      </c>
      <c r="D19" s="23" t="inlineStr"/>
      <c r="E19" s="23" t="inlineStr">
        <is>
          <t>Open page on mobile/tablet</t>
        </is>
      </c>
      <c r="F19" s="23" t="inlineStr"/>
      <c r="G19" s="23" t="inlineStr">
        <is>
          <t>Layout remains usable</t>
        </is>
      </c>
      <c r="H19" s="23" t="inlineStr">
        <is>
          <t>Layout remains usable</t>
        </is>
      </c>
      <c r="I19" s="23" t="inlineStr">
        <is>
          <t>Passed</t>
        </is>
      </c>
      <c r="J19" s="23" t="inlineStr">
        <is>
          <t>Medium</t>
        </is>
      </c>
      <c r="K19" s="23" t="inlineStr">
        <is>
          <t>Functional</t>
        </is>
      </c>
      <c r="L19" s="23" t="inlineStr">
        <is>
          <t>QA Team</t>
        </is>
      </c>
      <c r="M19" s="23" t="inlineStr"/>
      <c r="N19" s="23" t="inlineStr"/>
    </row>
    <row r="20" ht="46" customHeight="1">
      <c r="A20" s="24" t="inlineStr">
        <is>
          <t>ENG-016</t>
        </is>
      </c>
      <c r="B20" s="24" t="inlineStr">
        <is>
          <t>Engineer All Details</t>
        </is>
      </c>
      <c r="C20" s="24" t="inlineStr">
        <is>
          <t>Route smoke test</t>
        </is>
      </c>
      <c r="D20" s="24" t="inlineStr"/>
      <c r="E20" s="24" t="inlineStr">
        <is>
          <t>The Angular route resolves without a 404.</t>
        </is>
      </c>
      <c r="F20" s="24" t="inlineStr"/>
      <c r="G20" s="24" t="inlineStr">
        <is>
          <t>Development server running</t>
        </is>
      </c>
      <c r="H20" s="24" t="inlineStr">
        <is>
          <t>Open the implemented route on localhost:4200</t>
        </is>
      </c>
      <c r="I20" s="24" t="inlineStr">
        <is>
          <t>Not Run</t>
        </is>
      </c>
      <c r="J20" s="24" t="inlineStr">
        <is>
          <t>The Angular route resolves without a 404.</t>
        </is>
      </c>
      <c r="K20" s="24" t="inlineStr">
        <is>
          <t>Functional</t>
        </is>
      </c>
      <c r="L20" s="24" t="inlineStr">
        <is>
          <t>Not executed: requires isolated test data, credentials, or controlled API failure.</t>
        </is>
      </c>
      <c r="M20" s="24" t="inlineStr">
        <is>
          <t>Not Run</t>
        </is>
      </c>
      <c r="N20" s="24" t="inlineStr">
        <is>
          <t>Medium</t>
        </is>
      </c>
    </row>
    <row r="21" ht="46" customHeight="1">
      <c r="A21" s="23" t="inlineStr">
        <is>
          <t>ENG-017</t>
        </is>
      </c>
      <c r="B21" s="23" t="inlineStr">
        <is>
          <t>Engineer All Details</t>
        </is>
      </c>
      <c r="C21" s="23" t="inlineStr">
        <is>
          <t>Read-only API availability</t>
        </is>
      </c>
      <c r="D21" s="23" t="inlineStr"/>
      <c r="E21" s="23" t="inlineStr">
        <is>
          <t>Read-only data requests complete or a user-visible error is shown.</t>
        </is>
      </c>
      <c r="F21" s="23" t="inlineStr"/>
      <c r="G21" s="23" t="inlineStr">
        <is>
          <t>Local API at localhost:8080</t>
        </is>
      </c>
      <c r="H21" s="23" t="inlineStr">
        <is>
          <t>Load page with the local API running</t>
        </is>
      </c>
      <c r="I21" s="23" t="inlineStr">
        <is>
          <t>Not Run</t>
        </is>
      </c>
      <c r="J21" s="23" t="inlineStr">
        <is>
          <t>Read-only data requests complete or a user-visible error is shown.</t>
        </is>
      </c>
      <c r="K21" s="23" t="inlineStr">
        <is>
          <t>Functional</t>
        </is>
      </c>
      <c r="L21" s="23" t="inlineStr">
        <is>
          <t>Not executed: requires isolated test data, credentials, or controlled API failure.</t>
        </is>
      </c>
      <c r="M21" s="23" t="inlineStr">
        <is>
          <t>Not Run</t>
        </is>
      </c>
      <c r="N21" s="23" t="inlineStr">
        <is>
          <t>Medium</t>
        </is>
      </c>
    </row>
    <row r="22" ht="46" customHeight="1">
      <c r="A22" s="24" t="inlineStr">
        <is>
          <t>ENG-018</t>
        </is>
      </c>
      <c r="B22" s="24" t="inlineStr">
        <is>
          <t>Engineer All Details</t>
        </is>
      </c>
      <c r="C22" s="24" t="inlineStr">
        <is>
          <t>Data-changing regression</t>
        </is>
      </c>
      <c r="D22" s="24" t="inlineStr"/>
      <c r="E22" s="24" t="inlineStr">
        <is>
          <t>Only the test record is changed and can be cleaned up.</t>
        </is>
      </c>
      <c r="F22" s="24" t="inlineStr"/>
      <c r="G22" s="24" t="inlineStr">
        <is>
          <t>Dedicated test database and account</t>
        </is>
      </c>
      <c r="H22" s="24" t="inlineStr">
        <is>
          <t>Create, edit, or delete a record using an isolated test account</t>
        </is>
      </c>
      <c r="I22" s="24" t="inlineStr">
        <is>
          <t>Not Run</t>
        </is>
      </c>
      <c r="J22" s="24" t="inlineStr">
        <is>
          <t>Only the test record is changed and can be cleaned up.</t>
        </is>
      </c>
      <c r="K22" s="24" t="inlineStr">
        <is>
          <t>Functional</t>
        </is>
      </c>
      <c r="L22" s="24" t="inlineStr">
        <is>
          <t>Not executed: requires isolated test data, credentials, or controlled API failure.</t>
        </is>
      </c>
      <c r="M22" s="24" t="inlineStr">
        <is>
          <t>Not Run</t>
        </is>
      </c>
      <c r="N22" s="24" t="inlineStr">
        <is>
          <t>Medium</t>
        </is>
      </c>
    </row>
  </sheetData>
  <autoFilter ref="A4:N22"/>
  <mergeCells count="2">
    <mergeCell ref="A2:N2"/>
    <mergeCell ref="A1:N1"/>
  </mergeCells>
  <conditionalFormatting sqref="I5:I22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"Not Run"</formula>
    </cfRule>
    <cfRule type="cellIs" priority="4" operator="equal" dxfId="3">
      <formula>"Blocked"</formula>
    </cfRule>
  </conditionalFormatting>
  <dataValidations count="1">
    <dataValidation sqref="I5:I22" showDropDown="0" showInputMessage="0" showErrorMessage="0" allowBlank="0" type="list">
      <formula1>"Passed,Failed,Blocked,Not Run"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28" customWidth="1" min="4" max="4"/>
    <col width="40" customWidth="1" min="5" max="5"/>
    <col width="22" customWidth="1" min="6" max="6"/>
    <col width="38" customWidth="1" min="7" max="7"/>
    <col width="38" customWidth="1" min="8" max="8"/>
    <col width="14" customWidth="1" min="9" max="9"/>
    <col width="12" customWidth="1" min="10" max="10"/>
    <col width="15" customWidth="1" min="11" max="11"/>
    <col width="16" customWidth="1" min="12" max="12"/>
    <col width="16" customWidth="1" min="13" max="13"/>
    <col width="30" customWidth="1" min="14" max="14"/>
  </cols>
  <sheetData>
    <row r="1" ht="38" customHeight="1">
      <c r="A1" s="1" t="inlineStr">
        <is>
          <t>Students List</t>
        </is>
      </c>
    </row>
    <row r="2" ht="24" customHeight="1">
      <c r="A2" s="2" t="inlineStr">
        <is>
          <t>NTG Admin Module • QA test cases • Last updated: 2026-07-20</t>
        </is>
      </c>
    </row>
    <row r="4" ht="30" customHeight="1">
      <c r="A4" s="22" t="inlineStr">
        <is>
          <t>Test ID</t>
        </is>
      </c>
      <c r="B4" s="22" t="inlineStr">
        <is>
          <t>Feature</t>
        </is>
      </c>
      <c r="C4" s="22" t="inlineStr">
        <is>
          <t>Test Scenario</t>
        </is>
      </c>
      <c r="D4" s="22" t="inlineStr">
        <is>
          <t>Preconditions</t>
        </is>
      </c>
      <c r="E4" s="22" t="inlineStr">
        <is>
          <t>Test Steps</t>
        </is>
      </c>
      <c r="F4" s="22" t="inlineStr">
        <is>
          <t>Test Data</t>
        </is>
      </c>
      <c r="G4" s="22" t="inlineStr">
        <is>
          <t>Expected Result</t>
        </is>
      </c>
      <c r="H4" s="22" t="inlineStr">
        <is>
          <t>Actual Result</t>
        </is>
      </c>
      <c r="I4" s="22" t="inlineStr">
        <is>
          <t>Status</t>
        </is>
      </c>
      <c r="J4" s="22" t="inlineStr">
        <is>
          <t>Priority</t>
        </is>
      </c>
      <c r="K4" s="22" t="inlineStr">
        <is>
          <t>Test Type</t>
        </is>
      </c>
      <c r="L4" s="22" t="inlineStr">
        <is>
          <t>Tester</t>
        </is>
      </c>
      <c r="M4" s="22" t="inlineStr">
        <is>
          <t>Execution Date</t>
        </is>
      </c>
      <c r="N4" s="22" t="inlineStr">
        <is>
          <t>Notes</t>
        </is>
      </c>
    </row>
    <row r="5" ht="46" customHeight="1">
      <c r="A5" s="23" t="inlineStr">
        <is>
          <t>STU-001</t>
        </is>
      </c>
      <c r="B5" s="23" t="inlineStr">
        <is>
          <t>Students</t>
        </is>
      </c>
      <c r="C5" s="23" t="inlineStr">
        <is>
          <t>View all students list</t>
        </is>
      </c>
      <c r="D5" s="23" t="inlineStr">
        <is>
          <t>At least one student exists</t>
        </is>
      </c>
      <c r="E5" s="23" t="inlineStr">
        <is>
          <t>1. Navigate to /studentsList</t>
        </is>
      </c>
      <c r="F5" s="23" t="inlineStr">
        <is>
          <t>N/A</t>
        </is>
      </c>
      <c r="G5" s="23" t="inlineStr">
        <is>
          <t>GET /api/students returns StudentDTO[] (id, first_name, last_name, grade, status); table renders correctly</t>
        </is>
      </c>
      <c r="H5" s="23" t="inlineStr">
        <is>
          <t>returns StudentDTO[] (id, first_name, last_name, grade, status); table renders correctly Run</t>
        </is>
      </c>
      <c r="I5" s="23" t="inlineStr">
        <is>
          <t>Not Run</t>
        </is>
      </c>
      <c r="J5" s="23" t="inlineStr">
        <is>
          <t>High</t>
        </is>
      </c>
      <c r="K5" s="23" t="inlineStr">
        <is>
          <t>Functional</t>
        </is>
      </c>
      <c r="L5" s="23" t="inlineStr">
        <is>
          <t>QA Team</t>
        </is>
      </c>
      <c r="M5" s="23" t="inlineStr"/>
      <c r="N5" s="23" t="inlineStr"/>
    </row>
    <row r="6" ht="46" customHeight="1">
      <c r="A6" s="24" t="inlineStr">
        <is>
          <t>STU-002</t>
        </is>
      </c>
      <c r="B6" s="24" t="inlineStr">
        <is>
          <t>Students</t>
        </is>
      </c>
      <c r="C6" s="24" t="inlineStr">
        <is>
          <t>Verify no Create/Update/Delete endpoints exist for Students</t>
        </is>
      </c>
      <c r="D6" s="24" t="inlineStr">
        <is>
          <t>Verify no Create/Update/Delete endpoints exist for Students</t>
        </is>
      </c>
      <c r="E6" s="24" t="inlineStr">
        <is>
          <t>N/A</t>
        </is>
      </c>
      <c r="F6" s="24" t="inlineStr">
        <is>
          <t>1. Attempt POST/PUT/DELETE to /api/students</t>
        </is>
      </c>
      <c r="G6" s="24" t="inlineStr">
        <is>
          <t>N/A</t>
        </is>
      </c>
      <c r="H6" s="24" t="inlineStr">
        <is>
          <t>EXPECTED: documented decision whether student CRUD is out of scope or missing (see BUG-11 — StudentController only exposes GET endpoints; no way to add/edit/remove a student via API)</t>
        </is>
      </c>
      <c r="I6" s="24" t="inlineStr">
        <is>
          <t>Not Run</t>
        </is>
      </c>
      <c r="J6" s="24" t="inlineStr">
        <is>
          <t>Medium</t>
        </is>
      </c>
      <c r="K6" s="24" t="inlineStr">
        <is>
          <t>Functional</t>
        </is>
      </c>
      <c r="L6" s="24" t="inlineStr">
        <is>
          <t>QA Team</t>
        </is>
      </c>
      <c r="M6" s="24" t="inlineStr"/>
      <c r="N6" s="24" t="inlineStr"/>
    </row>
    <row r="7" ht="46" customHeight="1">
      <c r="A7" s="23" t="inlineStr">
        <is>
          <t>STU-003</t>
        </is>
      </c>
      <c r="B7" s="23" t="inlineStr">
        <is>
          <t>Students</t>
        </is>
      </c>
      <c r="C7" s="23" t="inlineStr">
        <is>
          <t>Student status field reflects isdeleted flag correctly</t>
        </is>
      </c>
      <c r="D7" s="23" t="inlineStr">
        <is>
          <t>Student status field reflects isdeleted flag correctly</t>
        </is>
      </c>
      <c r="E7" s="23" t="inlineStr">
        <is>
          <t>One active, one soft-deleted student user</t>
        </is>
      </c>
      <c r="F7" s="23" t="inlineStr">
        <is>
          <t>1. GET /api/students
2. Compare 'status' field to isdeleted flag in DB</t>
        </is>
      </c>
      <c r="G7" s="23" t="inlineStr">
        <is>
          <t>N/A</t>
        </is>
      </c>
      <c r="H7" s="23" t="inlineStr">
        <is>
          <t>status boolean correctly mirrors user.isdeleted for each student</t>
        </is>
      </c>
      <c r="I7" s="23" t="inlineStr">
        <is>
          <t>Not Run</t>
        </is>
      </c>
      <c r="J7" s="23" t="inlineStr">
        <is>
          <t>Medium</t>
        </is>
      </c>
      <c r="K7" s="23" t="inlineStr">
        <is>
          <t>Functional</t>
        </is>
      </c>
      <c r="L7" s="23" t="inlineStr">
        <is>
          <t>QA Team</t>
        </is>
      </c>
      <c r="M7" s="23" t="inlineStr"/>
      <c r="N7" s="23" t="inlineStr"/>
    </row>
    <row r="8" ht="46" customHeight="1">
      <c r="A8" s="24" t="inlineStr">
        <is>
          <t>STU-004</t>
        </is>
      </c>
      <c r="B8" s="24" t="inlineStr">
        <is>
          <t>Students</t>
        </is>
      </c>
      <c r="C8" s="24" t="inlineStr">
        <is>
          <t>Access students endpoint without authentication</t>
        </is>
      </c>
      <c r="D8" s="24" t="inlineStr">
        <is>
          <t>Access students endpoint without authentication</t>
        </is>
      </c>
      <c r="E8" s="24" t="inlineStr">
        <is>
          <t>No token</t>
        </is>
      </c>
      <c r="F8" s="24" t="inlineStr">
        <is>
          <t>1. GET /api/students with no Authorization header</t>
        </is>
      </c>
      <c r="G8" s="24" t="inlineStr">
        <is>
          <t>N/A</t>
        </is>
      </c>
      <c r="H8" s="24" t="inlineStr">
        <is>
          <t>Should return 401 Unauthorized (see BUG-01)</t>
        </is>
      </c>
      <c r="I8" s="24" t="inlineStr">
        <is>
          <t>Not Run</t>
        </is>
      </c>
      <c r="J8" s="24" t="inlineStr">
        <is>
          <t>High</t>
        </is>
      </c>
      <c r="K8" s="24" t="inlineStr">
        <is>
          <t>Functional</t>
        </is>
      </c>
      <c r="L8" s="24" t="inlineStr">
        <is>
          <t>QA Team</t>
        </is>
      </c>
      <c r="M8" s="24" t="inlineStr"/>
      <c r="N8" s="24" t="inlineStr"/>
    </row>
    <row r="9" ht="46" customHeight="1">
      <c r="A9" s="23" t="inlineStr">
        <is>
          <t>STU-005</t>
        </is>
      </c>
      <c r="B9" s="23" t="inlineStr">
        <is>
          <t>Students</t>
        </is>
      </c>
      <c r="C9" s="23" t="inlineStr">
        <is>
          <t>View students count</t>
        </is>
      </c>
      <c r="D9" s="23" t="inlineStr">
        <is>
          <t>View students count</t>
        </is>
      </c>
      <c r="E9" s="23" t="inlineStr">
        <is>
          <t>Students exist</t>
        </is>
      </c>
      <c r="F9" s="23" t="inlineStr">
        <is>
          <t>1. GET /api/students/count</t>
        </is>
      </c>
      <c r="G9" s="23" t="inlineStr">
        <is>
          <t>N/A</t>
        </is>
      </c>
      <c r="H9" s="23" t="inlineStr">
        <is>
          <t>Returns correct total count matching table row count</t>
        </is>
      </c>
      <c r="I9" s="23" t="inlineStr">
        <is>
          <t>Not Run</t>
        </is>
      </c>
      <c r="J9" s="23" t="inlineStr">
        <is>
          <t>Medium</t>
        </is>
      </c>
      <c r="K9" s="23" t="inlineStr">
        <is>
          <t>Functional</t>
        </is>
      </c>
      <c r="L9" s="23" t="inlineStr">
        <is>
          <t>QA Team</t>
        </is>
      </c>
      <c r="M9" s="23" t="inlineStr"/>
      <c r="N9" s="23" t="inlineStr"/>
    </row>
    <row r="10" ht="46" customHeight="1">
      <c r="A10" s="24" t="inlineStr">
        <is>
          <t>STU-006</t>
        </is>
      </c>
      <c r="B10" s="24" t="inlineStr">
        <is>
          <t>Students</t>
        </is>
      </c>
      <c r="C10" s="24" t="inlineStr">
        <is>
          <t>Verify dynamic column sorting in students grid</t>
        </is>
      </c>
      <c r="D10" s="24" t="inlineStr">
        <is>
          <t>Multiple student records exist with varying last names.</t>
        </is>
      </c>
      <c r="E10" s="24" t="inlineStr">
        <is>
          <t>1. Click on the 'Last Name' column header once.
2. Click it a second time.</t>
        </is>
      </c>
      <c r="F10" s="24" t="inlineStr">
        <is>
          <t>Query params: ?sort=lastName,asc and ?sort=lastName,desc</t>
        </is>
      </c>
      <c r="G10" s="24" t="inlineStr">
        <is>
          <t>The grid updates to show rows in ascending order, then descending order without data corruption.</t>
        </is>
      </c>
      <c r="H10" s="24" t="inlineStr"/>
      <c r="I10" s="24" t="inlineStr">
        <is>
          <t>Not Run</t>
        </is>
      </c>
      <c r="J10" s="24" t="inlineStr">
        <is>
          <t>Meduim</t>
        </is>
      </c>
      <c r="K10" s="24" t="inlineStr">
        <is>
          <t>Functional</t>
        </is>
      </c>
      <c r="L10" s="24" t="inlineStr">
        <is>
          <t>QA Team</t>
        </is>
      </c>
      <c r="M10" s="24" t="inlineStr"/>
      <c r="N10" s="24" t="inlineStr"/>
    </row>
    <row r="11" ht="46" customHeight="1">
      <c r="A11" s="23" t="inlineStr">
        <is>
          <t>STU-007</t>
        </is>
      </c>
      <c r="B11" s="23" t="inlineStr">
        <is>
          <t>Students</t>
        </is>
      </c>
      <c r="C11" s="23" t="inlineStr">
        <is>
          <t>Verify student profile image binary stream fetch</t>
        </is>
      </c>
      <c r="D11" s="23" t="inlineStr">
        <is>
          <t>Student record has an uploaded profile picture avatar.</t>
        </is>
      </c>
      <c r="E11" s="23" t="inlineStr">
        <is>
          <t>1. Open student profile details view.
2. Observe image component loading.</t>
        </is>
      </c>
      <c r="F11" s="23" t="inlineStr">
        <is>
          <t>Student ID: 1024</t>
        </is>
      </c>
      <c r="G11" s="23" t="inlineStr">
        <is>
          <t>The endpoint returns HTTP 200 OK with Content-Type: image/jpeg and the image renders perfectly.</t>
        </is>
      </c>
      <c r="H11" s="23" t="inlineStr"/>
      <c r="I11" s="23" t="inlineStr">
        <is>
          <t>Not Run</t>
        </is>
      </c>
      <c r="J11" s="23" t="inlineStr">
        <is>
          <t>Medium</t>
        </is>
      </c>
      <c r="K11" s="23" t="inlineStr">
        <is>
          <t>Functional</t>
        </is>
      </c>
      <c r="L11" s="23" t="inlineStr">
        <is>
          <t>QA Team</t>
        </is>
      </c>
      <c r="M11" s="23" t="inlineStr"/>
      <c r="N11" s="23" t="inlineStr"/>
    </row>
    <row r="12" ht="46" customHeight="1">
      <c r="A12" s="24" t="inlineStr">
        <is>
          <t>STU-008</t>
        </is>
      </c>
      <c r="B12" s="24" t="inlineStr">
        <is>
          <t>Students</t>
        </is>
      </c>
      <c r="C12" s="24" t="inlineStr">
        <is>
          <t>Verify mass student import via CSV endpoint testing</t>
        </is>
      </c>
      <c r="D12" s="24" t="inlineStr">
        <is>
          <t>Admin user session is active.</t>
        </is>
      </c>
      <c r="E12" s="24" t="inlineStr">
        <is>
          <t>1. Upload a CSV file containing 50 valid student entries to the import endpoint.</t>
        </is>
      </c>
      <c r="F12" s="24" t="inlineStr">
        <is>
          <t>File: students_bulk.csv</t>
        </is>
      </c>
      <c r="G12" s="24" t="inlineStr">
        <is>
          <t>Server returns 201 Created with a summary JSON detailing 50 successful insertions and 0 failures.</t>
        </is>
      </c>
      <c r="H12" s="24" t="inlineStr"/>
      <c r="I12" s="24" t="inlineStr">
        <is>
          <t>Not Run</t>
        </is>
      </c>
      <c r="J12" s="24" t="inlineStr">
        <is>
          <t>High</t>
        </is>
      </c>
      <c r="K12" s="24" t="inlineStr">
        <is>
          <t>Functional</t>
        </is>
      </c>
      <c r="L12" s="24" t="inlineStr">
        <is>
          <t>QA Team</t>
        </is>
      </c>
      <c r="M12" s="24" t="inlineStr"/>
      <c r="N12" s="24" t="inlineStr"/>
    </row>
    <row r="13" ht="46" customHeight="1">
      <c r="A13" s="23" t="inlineStr">
        <is>
          <t>STU-009</t>
        </is>
      </c>
      <c r="B13" s="23" t="inlineStr">
        <is>
          <t>Students</t>
        </is>
      </c>
      <c r="C13" s="23" t="inlineStr">
        <is>
          <t>Verify response handling when database connection times out</t>
        </is>
      </c>
      <c r="D13" s="23" t="inlineStr">
        <is>
          <t>Database pool connection threshold artificially limited or delayed.</t>
        </is>
      </c>
      <c r="E13" s="23" t="inlineStr">
        <is>
          <t>1. Trigger GET /api/students during high server mock latency.</t>
        </is>
      </c>
      <c r="F13" s="23" t="inlineStr">
        <is>
          <t>N/A</t>
        </is>
      </c>
      <c r="G13" s="23" t="inlineStr">
        <is>
          <t>Returns HTTP 504 Gateway Timeout or 503 Unavailable with localized message: 'Server is busy, please try again later'.</t>
        </is>
      </c>
      <c r="H13" s="23" t="inlineStr"/>
      <c r="I13" s="23" t="inlineStr">
        <is>
          <t>Not Run</t>
        </is>
      </c>
      <c r="J13" s="23" t="inlineStr">
        <is>
          <t>High</t>
        </is>
      </c>
      <c r="K13" s="23" t="inlineStr">
        <is>
          <t>Functional</t>
        </is>
      </c>
      <c r="L13" s="23" t="inlineStr">
        <is>
          <t>QA Team</t>
        </is>
      </c>
      <c r="M13" s="23" t="inlineStr"/>
      <c r="N13" s="23" t="inlineStr"/>
    </row>
    <row r="14" ht="46" customHeight="1">
      <c r="A14" s="24" t="inlineStr">
        <is>
          <t>STU-010</t>
        </is>
      </c>
      <c r="B14" s="24" t="inlineStr">
        <is>
          <t>Students List</t>
        </is>
      </c>
      <c r="C14" s="24" t="inlineStr">
        <is>
          <t>Search wildcard handling and filtering</t>
        </is>
      </c>
      <c r="D14" s="24" t="inlineStr">
        <is>
          <t>User is authorized on the Students List panel.</t>
        </is>
      </c>
      <c r="E14" s="24" t="inlineStr">
        <is>
          <t>1. Enter '%' in the main student search bar.
2. Click search or hit Enter.</t>
        </is>
      </c>
      <c r="F14" s="24" t="inlineStr">
        <is>
          <t>Input: '%'</t>
        </is>
      </c>
      <c r="G14" s="24" t="inlineStr">
        <is>
          <t>System handles percentage symbol as a literal string or filters gracefully without any empty page or crash.</t>
        </is>
      </c>
      <c r="H14" s="24" t="inlineStr"/>
      <c r="I14" s="24" t="inlineStr">
        <is>
          <t>Not Run</t>
        </is>
      </c>
      <c r="J14" s="24" t="inlineStr">
        <is>
          <t>Medium</t>
        </is>
      </c>
      <c r="K14" s="24" t="inlineStr">
        <is>
          <t>Functional</t>
        </is>
      </c>
      <c r="L14" s="24" t="inlineStr">
        <is>
          <t>QA Team</t>
        </is>
      </c>
      <c r="M14" s="24" t="inlineStr"/>
      <c r="N14" s="24" t="inlineStr"/>
    </row>
    <row r="15" ht="46" customHeight="1">
      <c r="A15" s="23" t="inlineStr">
        <is>
          <t>STU-011</t>
        </is>
      </c>
      <c r="B15" s="23" t="inlineStr">
        <is>
          <t>Students List</t>
        </is>
      </c>
      <c r="C15" s="23" t="inlineStr">
        <is>
          <t>Verify state preservation on page browser reload</t>
        </is>
      </c>
      <c r="D15" s="23" t="inlineStr">
        <is>
          <t>Grid filtering parameter settings are modified by active choice.</t>
        </is>
      </c>
      <c r="E15" s="23" t="inlineStr">
        <is>
          <t>1. Change page index to 3.
2. Refresh the browser.</t>
        </is>
      </c>
      <c r="F15" s="23" t="inlineStr">
        <is>
          <t>N/A</t>
        </is>
      </c>
      <c r="G15" s="23" t="inlineStr">
        <is>
          <t>Page reloads at index 3 instantly, pulling identical row sets.</t>
        </is>
      </c>
      <c r="H15" s="23" t="inlineStr"/>
      <c r="I15" s="23" t="inlineStr">
        <is>
          <t>Not Run</t>
        </is>
      </c>
      <c r="J15" s="23" t="inlineStr">
        <is>
          <t>Low</t>
        </is>
      </c>
      <c r="K15" s="23" t="inlineStr">
        <is>
          <t>Functional</t>
        </is>
      </c>
      <c r="L15" s="23" t="inlineStr">
        <is>
          <t>QA Team</t>
        </is>
      </c>
      <c r="M15" s="23" t="inlineStr"/>
      <c r="N15" s="23" t="inlineStr"/>
    </row>
    <row r="16" ht="46" customHeight="1">
      <c r="A16" s="24" t="inlineStr">
        <is>
          <t>STU-012</t>
        </is>
      </c>
      <c r="B16" s="24" t="inlineStr">
        <is>
          <t>Students List</t>
        </is>
      </c>
      <c r="C16" s="24" t="inlineStr">
        <is>
          <t>Validate row select selection across pagination boundaries</t>
        </is>
      </c>
      <c r="D16" s="24" t="inlineStr">
        <is>
          <t>Multiple data items exist across separate list views.</t>
        </is>
      </c>
      <c r="E16" s="24" t="inlineStr">
        <is>
          <t>1. Select 2 students on page 1.
2. Navigate to page 2, select 1 student.
3. Return to page 1.</t>
        </is>
      </c>
      <c r="F16" s="24" t="inlineStr">
        <is>
          <t>N/A</t>
        </is>
      </c>
      <c r="G16" s="24" t="inlineStr">
        <is>
          <t>The initial checkboxes on page 1 remain checked, with total count indicating 3 records selected.</t>
        </is>
      </c>
      <c r="H16" s="24" t="inlineStr"/>
      <c r="I16" s="24" t="inlineStr">
        <is>
          <t>Not Run</t>
        </is>
      </c>
      <c r="J16" s="24" t="inlineStr">
        <is>
          <t>High</t>
        </is>
      </c>
      <c r="K16" s="24" t="inlineStr">
        <is>
          <t>Functional</t>
        </is>
      </c>
      <c r="L16" s="24" t="inlineStr">
        <is>
          <t>QA Team</t>
        </is>
      </c>
      <c r="M16" s="24" t="inlineStr"/>
      <c r="N16" s="24" t="inlineStr"/>
    </row>
    <row r="17" ht="46" customHeight="1">
      <c r="A17" s="23" t="inlineStr">
        <is>
          <t>STU-013</t>
        </is>
      </c>
      <c r="B17" s="23" t="inlineStr">
        <is>
          <t>Students List</t>
        </is>
      </c>
      <c r="C17" s="23" t="inlineStr">
        <is>
          <t>Verify grid skeleton loading during slow API handshakes</t>
        </is>
      </c>
      <c r="D17" s="23" t="inlineStr">
        <is>
          <t>Network throttling is simulated via browser profile adjustments.</t>
        </is>
      </c>
      <c r="E17" s="23" t="inlineStr">
        <is>
          <t>1. Force request latency to 6000ms.
2. Access the students list link view.</t>
        </is>
      </c>
      <c r="F17" s="23" t="inlineStr">
        <is>
          <t>Simulated network throttle</t>
        </is>
      </c>
      <c r="G17" s="23" t="inlineStr">
        <is>
          <t>A clean gray skeleton outline layout appears until data replaces the loading state smoothly.</t>
        </is>
      </c>
      <c r="H17" s="23" t="inlineStr"/>
      <c r="I17" s="23" t="inlineStr">
        <is>
          <t>Not Run</t>
        </is>
      </c>
      <c r="J17" s="23" t="inlineStr">
        <is>
          <t>Medium</t>
        </is>
      </c>
      <c r="K17" s="23" t="inlineStr">
        <is>
          <t>Functional</t>
        </is>
      </c>
      <c r="L17" s="23" t="inlineStr">
        <is>
          <t>QA Team</t>
        </is>
      </c>
      <c r="M17" s="23" t="inlineStr"/>
      <c r="N17" s="23" t="inlineStr"/>
    </row>
    <row r="18" ht="46" customHeight="1">
      <c r="A18" s="24" t="inlineStr">
        <is>
          <t>STU-014</t>
        </is>
      </c>
      <c r="B18" s="24" t="inlineStr">
        <is>
          <t>Students List</t>
        </is>
      </c>
      <c r="C18" s="24" t="inlineStr">
        <is>
          <t>Verify grid columns dynamic header resizing logic</t>
        </is>
      </c>
      <c r="D18" s="24" t="inlineStr">
        <is>
          <t>Student records with very long compound surnames exist in DB.</t>
        </is>
      </c>
      <c r="E18" s="24" t="inlineStr">
        <is>
          <t>1. View student list row items.
2. Look at longest text rows.</t>
        </is>
      </c>
      <c r="F18" s="24" t="inlineStr">
        <is>
          <t>Name: 'Abdul-Rahman Al-Hassan Al-Saddiqi'</t>
        </is>
      </c>
      <c r="G18" s="24" t="inlineStr">
        <is>
          <t>The content wraps perfectly into double lines without overflowing or breaking adjacent border lines.</t>
        </is>
      </c>
      <c r="H18" s="24" t="inlineStr"/>
      <c r="I18" s="24" t="inlineStr">
        <is>
          <t>Not Run</t>
        </is>
      </c>
      <c r="J18" s="24" t="inlineStr">
        <is>
          <t>Low</t>
        </is>
      </c>
      <c r="K18" s="24" t="inlineStr">
        <is>
          <t>Functional</t>
        </is>
      </c>
      <c r="L18" s="24" t="inlineStr">
        <is>
          <t>QA Team</t>
        </is>
      </c>
      <c r="M18" s="24" t="inlineStr"/>
      <c r="N18" s="24" t="inlineStr"/>
    </row>
    <row r="19" ht="46" customHeight="1">
      <c r="A19" s="23" t="inlineStr">
        <is>
          <t>STU-015</t>
        </is>
      </c>
      <c r="B19" s="23" t="inlineStr">
        <is>
          <t>Students List</t>
        </is>
      </c>
      <c r="C19" s="23" t="inlineStr">
        <is>
          <t>Route smoke test</t>
        </is>
      </c>
      <c r="D19" s="23" t="inlineStr">
        <is>
          <t>Development server running</t>
        </is>
      </c>
      <c r="E19" s="23" t="inlineStr">
        <is>
          <t>Open the implemented route on localhost:4200</t>
        </is>
      </c>
      <c r="F19" s="23" t="inlineStr">
        <is>
          <t>See steps</t>
        </is>
      </c>
      <c r="G19" s="23" t="inlineStr">
        <is>
          <t>The Angular route resolves without a 404.</t>
        </is>
      </c>
      <c r="H19" s="23" t="inlineStr">
        <is>
          <t>Not executed: requires isolated test data, credentials, or controlled API failure.</t>
        </is>
      </c>
      <c r="I19" s="23" t="inlineStr">
        <is>
          <t>Not Run</t>
        </is>
      </c>
      <c r="J19" s="23" t="inlineStr">
        <is>
          <t>Medium</t>
        </is>
      </c>
      <c r="K19" s="23" t="inlineStr">
        <is>
          <t>Functional</t>
        </is>
      </c>
      <c r="L19" s="23" t="inlineStr">
        <is>
          <t>Codex QA</t>
        </is>
      </c>
      <c r="M19" s="23" t="inlineStr">
        <is>
          <t>2026-07-20</t>
        </is>
      </c>
      <c r="N19" s="23" t="inlineStr">
        <is>
          <t>Designed from the implemented UI and service contract.</t>
        </is>
      </c>
    </row>
    <row r="20" ht="46" customHeight="1">
      <c r="A20" s="24" t="inlineStr">
        <is>
          <t>STU-016</t>
        </is>
      </c>
      <c r="B20" s="24" t="inlineStr">
        <is>
          <t>Students List</t>
        </is>
      </c>
      <c r="C20" s="24" t="inlineStr">
        <is>
          <t>Read-only API availability</t>
        </is>
      </c>
      <c r="D20" s="24" t="inlineStr">
        <is>
          <t>Local API at localhost:8080</t>
        </is>
      </c>
      <c r="E20" s="24" t="inlineStr">
        <is>
          <t>Load page with the local API running</t>
        </is>
      </c>
      <c r="F20" s="24" t="inlineStr">
        <is>
          <t>See steps</t>
        </is>
      </c>
      <c r="G20" s="24" t="inlineStr">
        <is>
          <t>Read-only data requests complete or a user-visible error is shown.</t>
        </is>
      </c>
      <c r="H20" s="24" t="inlineStr">
        <is>
          <t>Not executed: requires isolated test data, credentials, or controlled API failure.</t>
        </is>
      </c>
      <c r="I20" s="24" t="inlineStr">
        <is>
          <t>Not Run</t>
        </is>
      </c>
      <c r="J20" s="24" t="inlineStr">
        <is>
          <t>Medium</t>
        </is>
      </c>
      <c r="K20" s="24" t="inlineStr">
        <is>
          <t>Functional</t>
        </is>
      </c>
      <c r="L20" s="24" t="inlineStr">
        <is>
          <t>Codex QA</t>
        </is>
      </c>
      <c r="M20" s="24" t="inlineStr">
        <is>
          <t>2026-07-20</t>
        </is>
      </c>
      <c r="N20" s="24" t="inlineStr">
        <is>
          <t>Designed from the implemented UI and service contract.</t>
        </is>
      </c>
    </row>
    <row r="21" ht="46" customHeight="1">
      <c r="A21" s="23" t="inlineStr">
        <is>
          <t>STU-017</t>
        </is>
      </c>
      <c r="B21" s="23" t="inlineStr">
        <is>
          <t>Students List</t>
        </is>
      </c>
      <c r="C21" s="23" t="inlineStr">
        <is>
          <t>Data-changing regression</t>
        </is>
      </c>
      <c r="D21" s="23" t="inlineStr">
        <is>
          <t>Dedicated test database and account</t>
        </is>
      </c>
      <c r="E21" s="23" t="inlineStr">
        <is>
          <t>Create, edit, or delete a record using an isolated test account</t>
        </is>
      </c>
      <c r="F21" s="23" t="inlineStr">
        <is>
          <t>See steps</t>
        </is>
      </c>
      <c r="G21" s="23" t="inlineStr">
        <is>
          <t>Only the test record is changed and can be cleaned up.</t>
        </is>
      </c>
      <c r="H21" s="23" t="inlineStr">
        <is>
          <t>Not executed: requires isolated test data, credentials, or controlled API failure.</t>
        </is>
      </c>
      <c r="I21" s="23" t="inlineStr">
        <is>
          <t>Not Run</t>
        </is>
      </c>
      <c r="J21" s="23" t="inlineStr">
        <is>
          <t>Medium</t>
        </is>
      </c>
      <c r="K21" s="23" t="inlineStr">
        <is>
          <t>Functional</t>
        </is>
      </c>
      <c r="L21" s="23" t="inlineStr">
        <is>
          <t>Codex QA</t>
        </is>
      </c>
      <c r="M21" s="23" t="inlineStr">
        <is>
          <t>2026-07-20</t>
        </is>
      </c>
      <c r="N21" s="23" t="inlineStr">
        <is>
          <t>Designed from the implemented UI and service contract.</t>
        </is>
      </c>
    </row>
  </sheetData>
  <autoFilter ref="A4:N21"/>
  <mergeCells count="2">
    <mergeCell ref="A2:N2"/>
    <mergeCell ref="A1:N1"/>
  </mergeCells>
  <conditionalFormatting sqref="I5:I21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"Not Run"</formula>
    </cfRule>
    <cfRule type="cellIs" priority="4" operator="equal" dxfId="3">
      <formula>"Blocked"</formula>
    </cfRule>
  </conditionalFormatting>
  <dataValidations count="1">
    <dataValidation sqref="I5:I21" showDropDown="0" showInputMessage="0" showErrorMessage="0" allowBlank="0" type="list">
      <formula1>"Passed,Failed,Blocked,Not Run"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28" customWidth="1" min="4" max="4"/>
    <col width="40" customWidth="1" min="5" max="5"/>
    <col width="22" customWidth="1" min="6" max="6"/>
    <col width="38" customWidth="1" min="7" max="7"/>
    <col width="38" customWidth="1" min="8" max="8"/>
    <col width="14" customWidth="1" min="9" max="9"/>
    <col width="12" customWidth="1" min="10" max="10"/>
    <col width="15" customWidth="1" min="11" max="11"/>
    <col width="16" customWidth="1" min="12" max="12"/>
    <col width="16" customWidth="1" min="13" max="13"/>
    <col width="30" customWidth="1" min="14" max="14"/>
  </cols>
  <sheetData>
    <row r="1" ht="38" customHeight="1">
      <c r="A1" s="1" t="inlineStr">
        <is>
          <t>Student Details</t>
        </is>
      </c>
    </row>
    <row r="2" ht="24" customHeight="1">
      <c r="A2" s="2" t="inlineStr">
        <is>
          <t>NTG Admin Module • QA test cases • Last updated: 2026-07-20</t>
        </is>
      </c>
    </row>
    <row r="4" ht="30" customHeight="1">
      <c r="A4" s="22" t="inlineStr">
        <is>
          <t>Test ID</t>
        </is>
      </c>
      <c r="B4" s="22" t="inlineStr">
        <is>
          <t>Feature</t>
        </is>
      </c>
      <c r="C4" s="22" t="inlineStr">
        <is>
          <t>Test Scenario</t>
        </is>
      </c>
      <c r="D4" s="22" t="inlineStr">
        <is>
          <t>Preconditions</t>
        </is>
      </c>
      <c r="E4" s="22" t="inlineStr">
        <is>
          <t>Test Steps</t>
        </is>
      </c>
      <c r="F4" s="22" t="inlineStr">
        <is>
          <t>Test Data</t>
        </is>
      </c>
      <c r="G4" s="22" t="inlineStr">
        <is>
          <t>Expected Result</t>
        </is>
      </c>
      <c r="H4" s="22" t="inlineStr">
        <is>
          <t>Actual Result</t>
        </is>
      </c>
      <c r="I4" s="22" t="inlineStr">
        <is>
          <t>Status</t>
        </is>
      </c>
      <c r="J4" s="22" t="inlineStr">
        <is>
          <t>Priority</t>
        </is>
      </c>
      <c r="K4" s="22" t="inlineStr">
        <is>
          <t>Test Type</t>
        </is>
      </c>
      <c r="L4" s="22" t="inlineStr">
        <is>
          <t>Tester</t>
        </is>
      </c>
      <c r="M4" s="22" t="inlineStr">
        <is>
          <t>Execution Date</t>
        </is>
      </c>
      <c r="N4" s="22" t="inlineStr">
        <is>
          <t>Notes</t>
        </is>
      </c>
    </row>
    <row r="5" ht="46" customHeight="1">
      <c r="A5" s="23" t="inlineStr">
        <is>
          <t>STU-001</t>
        </is>
      </c>
      <c r="B5" s="23" t="inlineStr">
        <is>
          <t>Student Details</t>
        </is>
      </c>
      <c r="C5" s="23" t="inlineStr">
        <is>
          <t>Verify student data loading</t>
        </is>
      </c>
      <c r="D5" s="23" t="inlineStr">
        <is>
          <t>User is logged in and student exists in database.</t>
        </is>
      </c>
      <c r="E5" s="23" t="inlineStr">
        <is>
          <t>1. Navigate to Student List.
2. Click on a specific student record.</t>
        </is>
      </c>
      <c r="F5" s="23" t="inlineStr">
        <is>
          <t>Student ID: 1024</t>
        </is>
      </c>
      <c r="G5" s="23" t="inlineStr">
        <is>
          <t>Page opens successfully, displaying full name, ID, email, and enrolled training program.</t>
        </is>
      </c>
      <c r="H5" s="23" t="inlineStr"/>
      <c r="I5" s="23" t="inlineStr">
        <is>
          <t>Passed</t>
        </is>
      </c>
      <c r="J5" s="23" t="inlineStr">
        <is>
          <t>High</t>
        </is>
      </c>
      <c r="K5" s="23" t="inlineStr">
        <is>
          <t>Functional</t>
        </is>
      </c>
      <c r="L5" s="23" t="inlineStr">
        <is>
          <t>QA Team</t>
        </is>
      </c>
      <c r="M5" s="23" t="inlineStr"/>
      <c r="N5" s="23" t="inlineStr"/>
    </row>
    <row r="6" ht="46" customHeight="1">
      <c r="A6" s="24" t="inlineStr">
        <is>
          <t>STU-002</t>
        </is>
      </c>
      <c r="B6" s="24" t="inlineStr">
        <is>
          <t>Student Details</t>
        </is>
      </c>
      <c r="C6" s="24" t="inlineStr">
        <is>
          <t>Invalid Student ID Handling</t>
        </is>
      </c>
      <c r="D6" s="24" t="inlineStr">
        <is>
          <t>User is logged in.</t>
        </is>
      </c>
      <c r="E6" s="24" t="inlineStr">
        <is>
          <t>1. Enter direct URL with non-existent ID (e.g., /student/9999).</t>
        </is>
      </c>
      <c r="F6" s="24" t="inlineStr">
        <is>
          <t>URL ID: 9999</t>
        </is>
      </c>
      <c r="G6" s="24" t="inlineStr">
        <is>
          <t>System displays a clear message: 'Student not found or has been deleted' with a back button.</t>
        </is>
      </c>
      <c r="H6" s="24" t="inlineStr"/>
      <c r="I6" s="24" t="inlineStr">
        <is>
          <t>Passed</t>
        </is>
      </c>
      <c r="J6" s="24" t="inlineStr">
        <is>
          <t>Medium</t>
        </is>
      </c>
      <c r="K6" s="24" t="inlineStr">
        <is>
          <t>Functional</t>
        </is>
      </c>
      <c r="L6" s="24" t="inlineStr">
        <is>
          <t>QA Team</t>
        </is>
      </c>
      <c r="M6" s="24" t="inlineStr"/>
      <c r="N6" s="24" t="inlineStr"/>
    </row>
    <row r="7" ht="46" customHeight="1">
      <c r="A7" s="23" t="inlineStr">
        <is>
          <t>STU-003</t>
        </is>
      </c>
      <c r="B7" s="23" t="inlineStr">
        <is>
          <t>Student Details</t>
        </is>
      </c>
      <c r="C7" s="23" t="inlineStr">
        <is>
          <t>Responsiveness Check</t>
        </is>
      </c>
      <c r="D7" s="23" t="inlineStr">
        <is>
          <t>User has access to browser developer tools.</t>
        </is>
      </c>
      <c r="E7" s="23" t="inlineStr">
        <is>
          <t>1. Open Student Details page.
2. Shrink window size to mobile and tablet resolutions.</t>
        </is>
      </c>
      <c r="F7" s="23" t="inlineStr">
        <is>
          <t>N/A</t>
        </is>
      </c>
      <c r="G7" s="23" t="inlineStr">
        <is>
          <t>Layout adjusts seamlessly. Text remains readable and buttons are fully clickable.</t>
        </is>
      </c>
      <c r="H7" s="23" t="inlineStr"/>
      <c r="I7" s="23" t="inlineStr">
        <is>
          <t>Passed</t>
        </is>
      </c>
      <c r="J7" s="23" t="inlineStr">
        <is>
          <t>Low</t>
        </is>
      </c>
      <c r="K7" s="23" t="inlineStr">
        <is>
          <t>Functional</t>
        </is>
      </c>
      <c r="L7" s="23" t="inlineStr">
        <is>
          <t>QA Team</t>
        </is>
      </c>
      <c r="M7" s="23" t="inlineStr"/>
      <c r="N7" s="23" t="inlineStr"/>
    </row>
    <row r="8" ht="46" customHeight="1">
      <c r="A8" s="24" t="inlineStr">
        <is>
          <t>STU-004</t>
        </is>
      </c>
      <c r="B8" s="24" t="inlineStr">
        <is>
          <t>Student Details</t>
        </is>
      </c>
      <c r="C8" s="24" t="inlineStr">
        <is>
          <t>Unauthorized Access Prevention</t>
        </is>
      </c>
      <c r="D8" s="24" t="inlineStr">
        <is>
          <t>User is not logged into the system.</t>
        </is>
      </c>
      <c r="E8" s="24" t="inlineStr">
        <is>
          <t>1. Clear cookies/session.
2. Paste direct student details URL into the address bar.</t>
        </is>
      </c>
      <c r="F8" s="24" t="inlineStr">
        <is>
          <t>URL: /student/1024</t>
        </is>
      </c>
      <c r="G8" s="24" t="inlineStr">
        <is>
          <t>System redirects the user to the Login page and blocks access to any student data.</t>
        </is>
      </c>
      <c r="H8" s="24" t="inlineStr"/>
      <c r="I8" s="24" t="inlineStr">
        <is>
          <t>Passed</t>
        </is>
      </c>
      <c r="J8" s="24" t="inlineStr">
        <is>
          <t>High</t>
        </is>
      </c>
      <c r="K8" s="24" t="inlineStr">
        <is>
          <t>Functional</t>
        </is>
      </c>
      <c r="L8" s="24" t="inlineStr">
        <is>
          <t>QA Team</t>
        </is>
      </c>
      <c r="M8" s="24" t="inlineStr"/>
      <c r="N8" s="24" t="inlineStr"/>
    </row>
    <row r="9" ht="46" customHeight="1">
      <c r="A9" s="23" t="inlineStr">
        <is>
          <t>STU-005</t>
        </is>
      </c>
      <c r="B9" s="23" t="inlineStr">
        <is>
          <t>Student Details</t>
        </is>
      </c>
      <c r="C9" s="23" t="inlineStr">
        <is>
          <t>Verify Action Buttons Navigation</t>
        </is>
      </c>
      <c r="D9" s="23" t="inlineStr">
        <is>
          <t>User is logged in with Admin rights.</t>
        </is>
      </c>
      <c r="E9" s="23" t="inlineStr">
        <is>
          <t>1. Open Student Details page.
2. Click on 'Edit Details' button.
3. Go back and click 'Delete'.</t>
        </is>
      </c>
      <c r="F9" s="23" t="inlineStr">
        <is>
          <t>N/A</t>
        </is>
      </c>
      <c r="G9" s="23" t="inlineStr">
        <is>
          <t>'Edit' opens the correct form, and 'Delete' triggers a confirmation pop-up modal.</t>
        </is>
      </c>
      <c r="H9" s="23" t="inlineStr"/>
      <c r="I9" s="23" t="inlineStr">
        <is>
          <t>Passed</t>
        </is>
      </c>
      <c r="J9" s="23" t="inlineStr">
        <is>
          <t>High</t>
        </is>
      </c>
      <c r="K9" s="23" t="inlineStr">
        <is>
          <t>Functional</t>
        </is>
      </c>
      <c r="L9" s="23" t="inlineStr">
        <is>
          <t>QA Team</t>
        </is>
      </c>
      <c r="M9" s="23" t="inlineStr"/>
      <c r="N9" s="23" t="inlineStr"/>
    </row>
    <row r="10" ht="46" customHeight="1">
      <c r="A10" s="24" t="inlineStr">
        <is>
          <t>STU-006</t>
        </is>
      </c>
      <c r="B10" s="24" t="inlineStr">
        <is>
          <t>Student Details</t>
        </is>
      </c>
      <c r="C10" s="24" t="inlineStr">
        <is>
          <t>Special Characters in Name Display</t>
        </is>
      </c>
      <c r="D10" s="24" t="inlineStr">
        <is>
          <t>A student record exists with special characters in the database.</t>
        </is>
      </c>
      <c r="E10" s="24" t="inlineStr">
        <is>
          <t>1. Open details for student named 'Chloé O'Connor-Alves'.</t>
        </is>
      </c>
      <c r="F10" s="24" t="inlineStr">
        <is>
          <t>Student Name: Chloé O'Connor-Alves</t>
        </is>
      </c>
      <c r="G10" s="24" t="inlineStr">
        <is>
          <t>The text renders flawlessly without any broken encoding symbols or weird characters.</t>
        </is>
      </c>
      <c r="H10" s="24" t="inlineStr"/>
      <c r="I10" s="24" t="inlineStr">
        <is>
          <t>Passed</t>
        </is>
      </c>
      <c r="J10" s="24" t="inlineStr">
        <is>
          <t>Medium</t>
        </is>
      </c>
      <c r="K10" s="24" t="inlineStr">
        <is>
          <t>Functional</t>
        </is>
      </c>
      <c r="L10" s="24" t="inlineStr">
        <is>
          <t>QA Team</t>
        </is>
      </c>
      <c r="M10" s="24" t="inlineStr"/>
      <c r="N10" s="24" t="inlineStr"/>
    </row>
    <row r="11" ht="46" customHeight="1">
      <c r="A11" s="23" t="inlineStr">
        <is>
          <t>STU-007</t>
        </is>
      </c>
      <c r="B11" s="23" t="inlineStr">
        <is>
          <t>Student Details</t>
        </is>
      </c>
      <c r="C11" s="23" t="inlineStr">
        <is>
          <t>Validate numeric payload boundary handling</t>
        </is>
      </c>
      <c r="D11" s="23" t="inlineStr">
        <is>
          <t>Student profile target data contains edge case numerical parameters.</t>
        </is>
      </c>
      <c r="E11" s="23" t="inlineStr">
        <is>
          <t>1. Open details view link for student record.</t>
        </is>
      </c>
      <c r="F11" s="23" t="inlineStr">
        <is>
          <t>GPA Score parameter: 4.00 / 4.00</t>
        </is>
      </c>
      <c r="G11" s="23" t="inlineStr">
        <is>
          <t>UI components process maximum grades smoothly with clean structural alignment.</t>
        </is>
      </c>
      <c r="H11" s="23" t="inlineStr"/>
      <c r="I11" s="23" t="inlineStr">
        <is>
          <t>Not Run</t>
        </is>
      </c>
      <c r="J11" s="23" t="inlineStr">
        <is>
          <t>High</t>
        </is>
      </c>
      <c r="K11" s="23" t="inlineStr">
        <is>
          <t>Functional</t>
        </is>
      </c>
      <c r="L11" s="23" t="inlineStr">
        <is>
          <t>QA Team</t>
        </is>
      </c>
      <c r="M11" s="23" t="inlineStr"/>
      <c r="N11" s="23" t="inlineStr"/>
    </row>
    <row r="12" ht="46" customHeight="1">
      <c r="A12" s="24" t="inlineStr">
        <is>
          <t>STU-008</t>
        </is>
      </c>
      <c r="B12" s="24" t="inlineStr">
        <is>
          <t>Student Details</t>
        </is>
      </c>
      <c r="C12" s="24" t="inlineStr">
        <is>
          <t>Verify back navigation cache retention state</t>
        </is>
      </c>
      <c r="D12" s="24" t="inlineStr">
        <is>
          <t>User reached details page from deep nested filter configurations.</t>
        </is>
      </c>
      <c r="E12" s="24" t="inlineStr">
        <is>
          <t>1. Click the 'Back' navigation button component layout.</t>
        </is>
      </c>
      <c r="F12" s="24" t="inlineStr">
        <is>
          <t>N/A</t>
        </is>
      </c>
      <c r="G12" s="24" t="inlineStr">
        <is>
          <t>User returns to the main list with their previous search criteria and row page location preserved.</t>
        </is>
      </c>
      <c r="H12" s="24" t="inlineStr"/>
      <c r="I12" s="24" t="inlineStr">
        <is>
          <t>Not Run</t>
        </is>
      </c>
      <c r="J12" s="24" t="inlineStr">
        <is>
          <t>Medium</t>
        </is>
      </c>
      <c r="K12" s="24" t="inlineStr">
        <is>
          <t>Functional</t>
        </is>
      </c>
      <c r="L12" s="24" t="inlineStr">
        <is>
          <t>QA Team</t>
        </is>
      </c>
      <c r="M12" s="24" t="inlineStr"/>
      <c r="N12" s="24" t="inlineStr"/>
    </row>
    <row r="13" ht="46" customHeight="1">
      <c r="A13" s="23" t="inlineStr">
        <is>
          <t>STU-009</t>
        </is>
      </c>
      <c r="B13" s="23" t="inlineStr">
        <is>
          <t>Student Details</t>
        </is>
      </c>
      <c r="C13" s="23" t="inlineStr">
        <is>
          <t>Validate document attachment view modal limits</t>
        </is>
      </c>
      <c r="D13" s="23" t="inlineStr">
        <is>
          <t>An attachment asset binary exists tied to profile files.</t>
        </is>
      </c>
      <c r="E13" s="23" t="inlineStr">
        <is>
          <t>1. Click the preview document icon.</t>
        </is>
      </c>
      <c r="F13" s="23" t="inlineStr">
        <is>
          <t>File element: certification.pdf</t>
        </is>
      </c>
      <c r="G13" s="23" t="inlineStr">
        <is>
          <t>An inner lightbox modal viewport frame displays a clean render of the PDF file instantly.</t>
        </is>
      </c>
      <c r="H13" s="23" t="inlineStr"/>
      <c r="I13" s="23" t="inlineStr">
        <is>
          <t>Not Run</t>
        </is>
      </c>
      <c r="J13" s="23" t="inlineStr">
        <is>
          <t>Low</t>
        </is>
      </c>
      <c r="K13" s="23" t="inlineStr">
        <is>
          <t>Functional</t>
        </is>
      </c>
      <c r="L13" s="23" t="inlineStr">
        <is>
          <t>QA Team</t>
        </is>
      </c>
      <c r="M13" s="23" t="inlineStr"/>
      <c r="N13" s="23" t="inlineStr"/>
    </row>
    <row r="14" ht="46" customHeight="1">
      <c r="A14" s="24" t="inlineStr">
        <is>
          <t>STU-010</t>
        </is>
      </c>
      <c r="B14" s="24" t="inlineStr">
        <is>
          <t>Student Details</t>
        </is>
      </c>
      <c r="C14" s="24" t="inlineStr">
        <is>
          <t>Verify data field dynamic updating via WebSockets</t>
        </is>
      </c>
      <c r="D14" s="24" t="inlineStr">
        <is>
          <t>Simultaneous active login sessions on same target ID.</t>
        </is>
      </c>
      <c r="E14" s="24" t="inlineStr">
        <is>
          <t>1. Admin A opens details.
2. Admin B updates target phone parameters from a separate machine.</t>
        </is>
      </c>
      <c r="F14" s="24" t="inlineStr">
        <is>
          <t>Phone: +201000000000</t>
        </is>
      </c>
      <c r="G14" s="24" t="inlineStr">
        <is>
          <t>Admin A's open view field flashes slightly and reflects the brand new number parameters without page reloads.</t>
        </is>
      </c>
      <c r="H14" s="24" t="inlineStr"/>
      <c r="I14" s="24" t="inlineStr">
        <is>
          <t>Not Run</t>
        </is>
      </c>
      <c r="J14" s="24" t="inlineStr">
        <is>
          <t>Medium</t>
        </is>
      </c>
      <c r="K14" s="24" t="inlineStr">
        <is>
          <t>Functional</t>
        </is>
      </c>
      <c r="L14" s="24" t="inlineStr">
        <is>
          <t>QA Team</t>
        </is>
      </c>
      <c r="M14" s="24" t="inlineStr"/>
      <c r="N14" s="24" t="inlineStr"/>
    </row>
    <row r="15" ht="46" customHeight="1">
      <c r="A15" s="23" t="inlineStr">
        <is>
          <t>STU-011</t>
        </is>
      </c>
      <c r="B15" s="23" t="inlineStr">
        <is>
          <t>Student Details</t>
        </is>
      </c>
      <c r="C15" s="23" t="inlineStr">
        <is>
          <t>Validate non-ASCII rendering limits for deep attachments</t>
        </is>
      </c>
      <c r="D15" s="23" t="inlineStr">
        <is>
          <t>Student profile contains documents with Arabic localized names.</t>
        </is>
      </c>
      <c r="E15" s="23" t="inlineStr">
        <is>
          <t>1. Click download on attachment item.</t>
        </is>
      </c>
      <c r="F15" s="23" t="inlineStr">
        <is>
          <t>Filename: 'شهادة_التخرج.pdf'</t>
        </is>
      </c>
      <c r="G15" s="23" t="inlineStr">
        <is>
          <t>File downloads cleanly with the precise Arabic text preserved without conversion errors.</t>
        </is>
      </c>
      <c r="H15" s="23" t="inlineStr"/>
      <c r="I15" s="23" t="inlineStr">
        <is>
          <t>Not Run</t>
        </is>
      </c>
      <c r="J15" s="23" t="inlineStr">
        <is>
          <t>High</t>
        </is>
      </c>
      <c r="K15" s="23" t="inlineStr">
        <is>
          <t>Functional</t>
        </is>
      </c>
      <c r="L15" s="23" t="inlineStr">
        <is>
          <t>QA Team</t>
        </is>
      </c>
      <c r="M15" s="23" t="inlineStr"/>
      <c r="N15" s="23" t="inlineStr"/>
    </row>
    <row r="16" ht="46" customHeight="1">
      <c r="A16" s="24" t="inlineStr">
        <is>
          <t>STU-012</t>
        </is>
      </c>
      <c r="B16" s="24" t="inlineStr">
        <is>
          <t>Student Details</t>
        </is>
      </c>
      <c r="C16" s="24" t="inlineStr">
        <is>
          <t>Route smoke test</t>
        </is>
      </c>
      <c r="D16" s="24" t="inlineStr">
        <is>
          <t>Development server running</t>
        </is>
      </c>
      <c r="E16" s="24" t="inlineStr">
        <is>
          <t>Open the implemented route on localhost:4200</t>
        </is>
      </c>
      <c r="F16" s="24" t="inlineStr">
        <is>
          <t>See steps</t>
        </is>
      </c>
      <c r="G16" s="24" t="inlineStr">
        <is>
          <t>The Angular route resolves without a 404.</t>
        </is>
      </c>
      <c r="H16" s="24" t="inlineStr">
        <is>
          <t>Not executed: requires isolated test data, credentials, or controlled API failure.</t>
        </is>
      </c>
      <c r="I16" s="24" t="inlineStr">
        <is>
          <t>Not Run</t>
        </is>
      </c>
      <c r="J16" s="24" t="inlineStr">
        <is>
          <t>Medium</t>
        </is>
      </c>
      <c r="K16" s="24" t="inlineStr">
        <is>
          <t>Functional</t>
        </is>
      </c>
      <c r="L16" s="24" t="inlineStr">
        <is>
          <t>Codex QA</t>
        </is>
      </c>
      <c r="M16" s="24" t="inlineStr">
        <is>
          <t>2026-07-20</t>
        </is>
      </c>
      <c r="N16" s="24" t="inlineStr">
        <is>
          <t>Designed from the implemented UI and service contract.</t>
        </is>
      </c>
    </row>
    <row r="17" ht="46" customHeight="1">
      <c r="A17" s="23" t="inlineStr">
        <is>
          <t>STU-013</t>
        </is>
      </c>
      <c r="B17" s="23" t="inlineStr">
        <is>
          <t>Student Details</t>
        </is>
      </c>
      <c r="C17" s="23" t="inlineStr">
        <is>
          <t>Read-only API availability</t>
        </is>
      </c>
      <c r="D17" s="23" t="inlineStr">
        <is>
          <t>Local API at localhost:8080</t>
        </is>
      </c>
      <c r="E17" s="23" t="inlineStr">
        <is>
          <t>Load page with the local API running</t>
        </is>
      </c>
      <c r="F17" s="23" t="inlineStr">
        <is>
          <t>See steps</t>
        </is>
      </c>
      <c r="G17" s="23" t="inlineStr">
        <is>
          <t>Read-only data requests complete or a user-visible error is shown.</t>
        </is>
      </c>
      <c r="H17" s="23" t="inlineStr">
        <is>
          <t>Not executed: requires isolated test data, credentials, or controlled API failure.</t>
        </is>
      </c>
      <c r="I17" s="23" t="inlineStr">
        <is>
          <t>Not Run</t>
        </is>
      </c>
      <c r="J17" s="23" t="inlineStr">
        <is>
          <t>Medium</t>
        </is>
      </c>
      <c r="K17" s="23" t="inlineStr">
        <is>
          <t>Functional</t>
        </is>
      </c>
      <c r="L17" s="23" t="inlineStr">
        <is>
          <t>Codex QA</t>
        </is>
      </c>
      <c r="M17" s="23" t="inlineStr">
        <is>
          <t>2026-07-20</t>
        </is>
      </c>
      <c r="N17" s="23" t="inlineStr">
        <is>
          <t>Designed from the implemented UI and service contract.</t>
        </is>
      </c>
    </row>
    <row r="18" ht="46" customHeight="1">
      <c r="A18" s="24" t="inlineStr">
        <is>
          <t>STU-014</t>
        </is>
      </c>
      <c r="B18" s="24" t="inlineStr">
        <is>
          <t>Student Details</t>
        </is>
      </c>
      <c r="C18" s="24" t="inlineStr">
        <is>
          <t>Data-changing regression</t>
        </is>
      </c>
      <c r="D18" s="24" t="inlineStr">
        <is>
          <t>Dedicated test database and account</t>
        </is>
      </c>
      <c r="E18" s="24" t="inlineStr">
        <is>
          <t>Create, edit, or delete a record using an isolated test account</t>
        </is>
      </c>
      <c r="F18" s="24" t="inlineStr">
        <is>
          <t>See steps</t>
        </is>
      </c>
      <c r="G18" s="24" t="inlineStr">
        <is>
          <t>Only the test record is changed and can be cleaned up.</t>
        </is>
      </c>
      <c r="H18" s="24" t="inlineStr">
        <is>
          <t>Not executed: requires isolated test data, credentials, or controlled API failure.</t>
        </is>
      </c>
      <c r="I18" s="24" t="inlineStr">
        <is>
          <t>Not Run</t>
        </is>
      </c>
      <c r="J18" s="24" t="inlineStr">
        <is>
          <t>Medium</t>
        </is>
      </c>
      <c r="K18" s="24" t="inlineStr">
        <is>
          <t>Functional</t>
        </is>
      </c>
      <c r="L18" s="24" t="inlineStr">
        <is>
          <t>Codex QA</t>
        </is>
      </c>
      <c r="M18" s="24" t="inlineStr">
        <is>
          <t>2026-07-20</t>
        </is>
      </c>
      <c r="N18" s="24" t="inlineStr">
        <is>
          <t>Designed from the implemented UI and service contract.</t>
        </is>
      </c>
    </row>
  </sheetData>
  <autoFilter ref="A4:N18"/>
  <mergeCells count="2">
    <mergeCell ref="A2:N2"/>
    <mergeCell ref="A1:N1"/>
  </mergeCells>
  <conditionalFormatting sqref="I5:I18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"Not Run"</formula>
    </cfRule>
    <cfRule type="cellIs" priority="4" operator="equal" dxfId="3">
      <formula>"Blocked"</formula>
    </cfRule>
  </conditionalFormatting>
  <dataValidations count="1">
    <dataValidation sqref="I5:I18" showDropDown="0" showInputMessage="0" showErrorMessage="0" allowBlank="0" type="list">
      <formula1>"Passed,Failed,Blocked,Not Run"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28" customWidth="1" min="4" max="4"/>
    <col width="40" customWidth="1" min="5" max="5"/>
    <col width="22" customWidth="1" min="6" max="6"/>
    <col width="38" customWidth="1" min="7" max="7"/>
    <col width="38" customWidth="1" min="8" max="8"/>
    <col width="14" customWidth="1" min="9" max="9"/>
    <col width="12" customWidth="1" min="10" max="10"/>
    <col width="15" customWidth="1" min="11" max="11"/>
    <col width="16" customWidth="1" min="12" max="12"/>
    <col width="16" customWidth="1" min="13" max="13"/>
    <col width="30" customWidth="1" min="14" max="14"/>
  </cols>
  <sheetData>
    <row r="1" ht="38" customHeight="1">
      <c r="A1" s="1" t="inlineStr">
        <is>
          <t>Reports</t>
        </is>
      </c>
    </row>
    <row r="2" ht="24" customHeight="1">
      <c r="A2" s="2" t="inlineStr">
        <is>
          <t>NTG Admin Module • QA test cases • Last updated: 2026-07-20</t>
        </is>
      </c>
    </row>
    <row r="4" ht="30" customHeight="1">
      <c r="A4" s="22" t="inlineStr">
        <is>
          <t>Test ID</t>
        </is>
      </c>
      <c r="B4" s="22" t="inlineStr">
        <is>
          <t>Feature</t>
        </is>
      </c>
      <c r="C4" s="22" t="inlineStr">
        <is>
          <t>Test Scenario</t>
        </is>
      </c>
      <c r="D4" s="22" t="inlineStr">
        <is>
          <t>Preconditions</t>
        </is>
      </c>
      <c r="E4" s="22" t="inlineStr">
        <is>
          <t>Test Steps</t>
        </is>
      </c>
      <c r="F4" s="22" t="inlineStr">
        <is>
          <t>Test Data</t>
        </is>
      </c>
      <c r="G4" s="22" t="inlineStr">
        <is>
          <t>Expected Result</t>
        </is>
      </c>
      <c r="H4" s="22" t="inlineStr">
        <is>
          <t>Actual Result</t>
        </is>
      </c>
      <c r="I4" s="22" t="inlineStr">
        <is>
          <t>Status</t>
        </is>
      </c>
      <c r="J4" s="22" t="inlineStr">
        <is>
          <t>Priority</t>
        </is>
      </c>
      <c r="K4" s="22" t="inlineStr">
        <is>
          <t>Test Type</t>
        </is>
      </c>
      <c r="L4" s="22" t="inlineStr">
        <is>
          <t>Tester</t>
        </is>
      </c>
      <c r="M4" s="22" t="inlineStr">
        <is>
          <t>Execution Date</t>
        </is>
      </c>
      <c r="N4" s="22" t="inlineStr">
        <is>
          <t>Notes</t>
        </is>
      </c>
    </row>
    <row r="5" ht="46" customHeight="1">
      <c r="A5" s="23" t="inlineStr">
        <is>
          <t>REP-001</t>
        </is>
      </c>
      <c r="B5" s="23" t="inlineStr">
        <is>
          <t>Reports List</t>
        </is>
      </c>
      <c r="C5" s="23" t="inlineStr">
        <is>
          <t>Verify list population and sorting</t>
        </is>
      </c>
      <c r="D5" s="23" t="inlineStr">
        <is>
          <t>Reports exist in the database.</t>
        </is>
      </c>
      <c r="E5" s="23" t="inlineStr">
        <is>
          <t>1. Navigate to 'Reports List' from the main dashboard.</t>
        </is>
      </c>
      <c r="F5" s="23" t="inlineStr">
        <is>
          <t>N/A</t>
        </is>
      </c>
      <c r="G5" s="23" t="inlineStr">
        <is>
          <t>Table displays all available reports, sorted dynamically from newest to oldest.</t>
        </is>
      </c>
      <c r="H5" s="23" t="inlineStr"/>
      <c r="I5" s="23" t="inlineStr">
        <is>
          <t>Passed</t>
        </is>
      </c>
      <c r="J5" s="23" t="inlineStr">
        <is>
          <t>High</t>
        </is>
      </c>
      <c r="K5" s="23" t="inlineStr">
        <is>
          <t>Functional</t>
        </is>
      </c>
      <c r="L5" s="23" t="inlineStr">
        <is>
          <t>QA Team</t>
        </is>
      </c>
      <c r="M5" s="23" t="inlineStr"/>
      <c r="N5" s="23" t="inlineStr"/>
    </row>
    <row r="6" ht="46" customHeight="1">
      <c r="A6" s="24" t="inlineStr">
        <is>
          <t>REP-002</t>
        </is>
      </c>
      <c r="B6" s="24" t="inlineStr">
        <is>
          <t>Reports List</t>
        </is>
      </c>
      <c r="C6" s="24" t="inlineStr">
        <is>
          <t>Filter and Search Functionality</t>
        </is>
      </c>
      <c r="D6" s="24" t="inlineStr">
        <is>
          <t>Multiple reports of different types exist.</t>
        </is>
      </c>
      <c r="E6" s="24" t="inlineStr">
        <is>
          <t>1. Select Report Type: 'Excel'.
2. Type specific keyword in search bar.</t>
        </is>
      </c>
      <c r="F6" s="24" t="inlineStr">
        <is>
          <t>Type: Excel, Keyword: 'Q2_Attendance'</t>
        </is>
      </c>
      <c r="G6" s="24" t="inlineStr">
        <is>
          <t>Table updates dynamically to show only Excel reports matching 'Q2_Attendance'.</t>
        </is>
      </c>
      <c r="H6" s="24" t="inlineStr"/>
      <c r="I6" s="24" t="inlineStr">
        <is>
          <t>Passed</t>
        </is>
      </c>
      <c r="J6" s="24" t="inlineStr">
        <is>
          <t>High</t>
        </is>
      </c>
      <c r="K6" s="24" t="inlineStr">
        <is>
          <t>Functional</t>
        </is>
      </c>
      <c r="L6" s="24" t="inlineStr">
        <is>
          <t>QA Team</t>
        </is>
      </c>
      <c r="M6" s="24" t="inlineStr"/>
      <c r="N6" s="24" t="inlineStr"/>
    </row>
    <row r="7" ht="46" customHeight="1">
      <c r="A7" s="23" t="inlineStr">
        <is>
          <t>REP-003</t>
        </is>
      </c>
      <c r="B7" s="23" t="inlineStr">
        <is>
          <t>Reports List</t>
        </is>
      </c>
      <c r="C7" s="23" t="inlineStr">
        <is>
          <t>Export and Download Format</t>
        </is>
      </c>
      <c r="D7" s="23" t="inlineStr">
        <is>
          <t>User is on the Reports List tab.</t>
        </is>
      </c>
      <c r="E7" s="23" t="inlineStr">
        <is>
          <t>1. Click the 'Download PDF' icon next to any report.</t>
        </is>
      </c>
      <c r="F7" s="23" t="inlineStr">
        <is>
          <t>Report ID: 45</t>
        </is>
      </c>
      <c r="G7" s="23" t="inlineStr">
        <is>
          <t>File downloads successfully and Arabic/English text renders correctly without corruption.</t>
        </is>
      </c>
      <c r="H7" s="23" t="inlineStr"/>
      <c r="I7" s="23" t="inlineStr">
        <is>
          <t>Passed</t>
        </is>
      </c>
      <c r="J7" s="23" t="inlineStr">
        <is>
          <t>High</t>
        </is>
      </c>
      <c r="K7" s="23" t="inlineStr">
        <is>
          <t>Functional</t>
        </is>
      </c>
      <c r="L7" s="23" t="inlineStr">
        <is>
          <t>QA Team</t>
        </is>
      </c>
      <c r="M7" s="23" t="inlineStr"/>
      <c r="N7" s="23" t="inlineStr"/>
    </row>
    <row r="8" ht="46" customHeight="1">
      <c r="A8" s="24" t="inlineStr">
        <is>
          <t>REP-004</t>
        </is>
      </c>
      <c r="B8" s="24" t="inlineStr">
        <is>
          <t>Reports List</t>
        </is>
      </c>
      <c r="C8" s="24" t="inlineStr">
        <is>
          <t>Empty State Handling</t>
        </is>
      </c>
      <c r="D8" s="24" t="inlineStr">
        <is>
          <t>User is on the Reports List tab.</t>
        </is>
      </c>
      <c r="E8" s="24" t="inlineStr">
        <is>
          <t>1. Type a random string in the search box that doesn't exist.</t>
        </is>
      </c>
      <c r="F8" s="24" t="inlineStr">
        <is>
          <t>Search: 'xyz999!!!'</t>
        </is>
      </c>
      <c r="G8" s="24" t="inlineStr">
        <is>
          <t>Table is hidden and an elegant 'No reports found matching your criteria' message is shown.</t>
        </is>
      </c>
      <c r="H8" s="24" t="inlineStr"/>
      <c r="I8" s="24" t="inlineStr">
        <is>
          <t>Passed</t>
        </is>
      </c>
      <c r="J8" s="24" t="inlineStr">
        <is>
          <t>Medium</t>
        </is>
      </c>
      <c r="K8" s="24" t="inlineStr">
        <is>
          <t>Functional</t>
        </is>
      </c>
      <c r="L8" s="24" t="inlineStr">
        <is>
          <t>QA Team</t>
        </is>
      </c>
      <c r="M8" s="24" t="inlineStr"/>
      <c r="N8" s="24" t="inlineStr"/>
    </row>
    <row r="9" ht="46" customHeight="1">
      <c r="A9" s="23" t="inlineStr">
        <is>
          <t>REP-005</t>
        </is>
      </c>
      <c r="B9" s="23" t="inlineStr">
        <is>
          <t>Reports List</t>
        </is>
      </c>
      <c r="C9" s="23" t="inlineStr">
        <is>
          <t>Pagination Controls</t>
        </is>
      </c>
      <c r="D9" s="23" t="inlineStr">
        <is>
          <t>More than 10 reports exist in the system.</t>
        </is>
      </c>
      <c r="E9" s="23" t="inlineStr">
        <is>
          <t>1. Scroll to the bottom of the Reports List.
2. Click 'Next' or page number '2'.</t>
        </is>
      </c>
      <c r="F9" s="23" t="inlineStr">
        <is>
          <t>N/A</t>
        </is>
      </c>
      <c r="G9" s="23" t="inlineStr">
        <is>
          <t>System loads the next set of records instantly and updates active page index highlight.</t>
        </is>
      </c>
      <c r="H9" s="23" t="inlineStr"/>
      <c r="I9" s="23" t="inlineStr">
        <is>
          <t>Passed</t>
        </is>
      </c>
      <c r="J9" s="23" t="inlineStr">
        <is>
          <t>Medium</t>
        </is>
      </c>
      <c r="K9" s="23" t="inlineStr">
        <is>
          <t>Functional</t>
        </is>
      </c>
      <c r="L9" s="23" t="inlineStr">
        <is>
          <t>QA Team</t>
        </is>
      </c>
      <c r="M9" s="23" t="inlineStr"/>
      <c r="N9" s="23" t="inlineStr"/>
    </row>
    <row r="10" ht="46" customHeight="1">
      <c r="A10" s="24" t="inlineStr">
        <is>
          <t>REP-006</t>
        </is>
      </c>
      <c r="B10" s="24" t="inlineStr">
        <is>
          <t>Reports List</t>
        </is>
      </c>
      <c r="C10" s="24" t="inlineStr">
        <is>
          <t>SQL Injection in Search Input</t>
        </is>
      </c>
      <c r="D10" s="24" t="inlineStr">
        <is>
          <t>User is on the Reports List tab.</t>
        </is>
      </c>
      <c r="E10" s="24" t="inlineStr">
        <is>
          <t>1. Input "' OR '1'='1" inside the search input box and press Enter.</t>
        </is>
      </c>
      <c r="F10" s="24" t="inlineStr">
        <is>
          <t>Input: ' OR '1'='1</t>
        </is>
      </c>
      <c r="G10" s="24" t="inlineStr">
        <is>
          <t>System treats it as a literal string search, yields 0 results, and does not leak database info or crash.</t>
        </is>
      </c>
      <c r="H10" s="24" t="inlineStr"/>
      <c r="I10" s="24" t="inlineStr">
        <is>
          <t>Passed</t>
        </is>
      </c>
      <c r="J10" s="24" t="inlineStr">
        <is>
          <t>High</t>
        </is>
      </c>
      <c r="K10" s="24" t="inlineStr">
        <is>
          <t>Functional</t>
        </is>
      </c>
      <c r="L10" s="24" t="inlineStr">
        <is>
          <t>QA Team</t>
        </is>
      </c>
      <c r="M10" s="24" t="inlineStr"/>
      <c r="N10" s="24" t="inlineStr"/>
    </row>
    <row r="11" ht="46" customHeight="1">
      <c r="A11" s="23" t="inlineStr">
        <is>
          <t>REP-007</t>
        </is>
      </c>
      <c r="B11" s="23" t="inlineStr">
        <is>
          <t>Reports List</t>
        </is>
      </c>
      <c r="C11" s="23" t="inlineStr">
        <is>
          <t>Verify report dynamic generation status polling</t>
        </is>
      </c>
      <c r="D11" s="23" t="inlineStr">
        <is>
          <t>A large background report generation job is initiated.</t>
        </is>
      </c>
      <c r="E11" s="23" t="inlineStr">
        <is>
          <t>1. Click 'Generate Heavy Audit Report'.
2. Monitor the processing overlay progress bar.</t>
        </is>
      </c>
      <c r="F11" s="23" t="inlineStr">
        <is>
          <t>Job ID: 88921</t>
        </is>
      </c>
      <c r="G11" s="23" t="inlineStr">
        <is>
          <t>The progress bar dynamically fills from 0% to 100% matching the polled status responses until completion.</t>
        </is>
      </c>
      <c r="H11" s="23" t="inlineStr"/>
      <c r="I11" s="23" t="inlineStr">
        <is>
          <t>Not Run</t>
        </is>
      </c>
      <c r="J11" s="23" t="inlineStr">
        <is>
          <t>Medium</t>
        </is>
      </c>
      <c r="K11" s="23" t="inlineStr">
        <is>
          <t>Functional</t>
        </is>
      </c>
      <c r="L11" s="23" t="inlineStr">
        <is>
          <t>QA Team</t>
        </is>
      </c>
      <c r="M11" s="23" t="inlineStr"/>
      <c r="N11" s="23" t="inlineStr"/>
    </row>
    <row r="12" ht="46" customHeight="1">
      <c r="A12" s="24" t="inlineStr">
        <is>
          <t>REP-008</t>
        </is>
      </c>
      <c r="B12" s="24" t="inlineStr">
        <is>
          <t>Reports List</t>
        </is>
      </c>
      <c r="C12" s="24" t="inlineStr">
        <is>
          <t>Verify zero byte report download restriction</t>
        </is>
      </c>
      <c r="D12" s="24" t="inlineStr">
        <is>
          <t>An empty report entity layout exists.</t>
        </is>
      </c>
      <c r="E12" s="24" t="inlineStr">
        <is>
          <t>1. Click the download icon next to an unpopulated report schema.</t>
        </is>
      </c>
      <c r="F12" s="24" t="inlineStr">
        <is>
          <t>Report ID: 99</t>
        </is>
      </c>
      <c r="G12" s="24" t="inlineStr">
        <is>
          <t>System displays warning pop-up: 'Cannot download an empty report' and terminates download stream.</t>
        </is>
      </c>
      <c r="H12" s="24" t="inlineStr"/>
      <c r="I12" s="24" t="inlineStr">
        <is>
          <t>Not Run</t>
        </is>
      </c>
      <c r="J12" s="24" t="inlineStr">
        <is>
          <t>Medium</t>
        </is>
      </c>
      <c r="K12" s="24" t="inlineStr">
        <is>
          <t>Functional</t>
        </is>
      </c>
      <c r="L12" s="24" t="inlineStr">
        <is>
          <t>QA Team</t>
        </is>
      </c>
      <c r="M12" s="24" t="inlineStr"/>
      <c r="N12" s="24" t="inlineStr"/>
    </row>
    <row r="13" ht="46" customHeight="1">
      <c r="A13" s="23" t="inlineStr">
        <is>
          <t>REP-009</t>
        </is>
      </c>
      <c r="B13" s="23" t="inlineStr">
        <is>
          <t>Reports List</t>
        </is>
      </c>
      <c r="C13" s="23" t="inlineStr">
        <is>
          <t>Verify custom report column visibility adjustments</t>
        </is>
      </c>
      <c r="D13" s="23" t="inlineStr">
        <is>
          <t>User is on the Reports List configurations settings panel.</t>
        </is>
      </c>
      <c r="E13" s="23" t="inlineStr">
        <is>
          <t>1. Deselect 'Owner UUID' checkbox.
2. Click 'Save View Configurations'.</t>
        </is>
      </c>
      <c r="F13" s="23" t="inlineStr">
        <is>
          <t>Payload: { 'hideColumns': ['ownerUuid'] }</t>
        </is>
      </c>
      <c r="G13" s="23" t="inlineStr">
        <is>
          <t>Table re-renders instantly, hiding the chosen column. Refreshing the browser preserves this customized setup.</t>
        </is>
      </c>
      <c r="H13" s="23" t="inlineStr"/>
      <c r="I13" s="23" t="inlineStr">
        <is>
          <t>Not Run</t>
        </is>
      </c>
      <c r="J13" s="23" t="inlineStr">
        <is>
          <t>Low</t>
        </is>
      </c>
      <c r="K13" s="23" t="inlineStr">
        <is>
          <t>Functional</t>
        </is>
      </c>
      <c r="L13" s="23" t="inlineStr">
        <is>
          <t>QA Team</t>
        </is>
      </c>
      <c r="M13" s="23" t="inlineStr"/>
      <c r="N13" s="23" t="inlineStr"/>
    </row>
    <row r="14" ht="46" customHeight="1">
      <c r="A14" s="24" t="inlineStr">
        <is>
          <t>REP-010</t>
        </is>
      </c>
      <c r="B14" s="24" t="inlineStr">
        <is>
          <t>Reports List</t>
        </is>
      </c>
      <c r="C14" s="24" t="inlineStr">
        <is>
          <t>Verify data parsing boundaries for date overlaps</t>
        </is>
      </c>
      <c r="D14" s="24" t="inlineStr">
        <is>
          <t>Reports exist within that specific minute benchmark.</t>
        </is>
      </c>
      <c r="E14" s="24" t="inlineStr">
        <is>
          <t>1. GET /api/reports?startDate=2026-07-17T00:00:00Z&amp;endDate=2026-07-17T00:00:00Z</t>
        </is>
      </c>
      <c r="F14" s="24" t="inlineStr">
        <is>
          <t>Time slice injection boundaries</t>
        </is>
      </c>
      <c r="G14" s="24" t="inlineStr">
        <is>
          <t>API runs successfully and isolates records matching that exact micro-second junction point accurately.</t>
        </is>
      </c>
      <c r="H14" s="24" t="inlineStr"/>
      <c r="I14" s="24" t="inlineStr">
        <is>
          <t>Not Run</t>
        </is>
      </c>
      <c r="J14" s="24" t="inlineStr">
        <is>
          <t>Medium</t>
        </is>
      </c>
      <c r="K14" s="24" t="inlineStr">
        <is>
          <t>Functional</t>
        </is>
      </c>
      <c r="L14" s="24" t="inlineStr">
        <is>
          <t>QA Team</t>
        </is>
      </c>
      <c r="M14" s="24" t="inlineStr"/>
      <c r="N14" s="24" t="inlineStr"/>
    </row>
    <row r="15" ht="46" customHeight="1">
      <c r="A15" s="23" t="inlineStr">
        <is>
          <t>REP-011</t>
        </is>
      </c>
      <c r="B15" s="23" t="inlineStr">
        <is>
          <t>Reports List</t>
        </is>
      </c>
      <c r="C15" s="23" t="inlineStr">
        <is>
          <t>Verify multiple export format concurrent downloads</t>
        </is>
      </c>
      <c r="D15" s="23" t="inlineStr">
        <is>
          <t>System background export microservices are active.</t>
        </is>
      </c>
      <c r="E15" s="23" t="inlineStr">
        <is>
          <t>1. Click 'Export Excel' and 'Export PDF' immediately after each other.</t>
        </is>
      </c>
      <c r="F15" s="23" t="inlineStr">
        <is>
          <t>N/A</t>
        </is>
      </c>
      <c r="G15" s="23" t="inlineStr">
        <is>
          <t>Both files compile and download independently in separate task threads without locking row assets.</t>
        </is>
      </c>
      <c r="H15" s="23" t="inlineStr"/>
      <c r="I15" s="23" t="inlineStr">
        <is>
          <t>Not Run</t>
        </is>
      </c>
      <c r="J15" s="23" t="inlineStr">
        <is>
          <t>High</t>
        </is>
      </c>
      <c r="K15" s="23" t="inlineStr">
        <is>
          <t>Functional</t>
        </is>
      </c>
      <c r="L15" s="23" t="inlineStr">
        <is>
          <t>QA Team</t>
        </is>
      </c>
      <c r="M15" s="23" t="inlineStr"/>
      <c r="N15" s="23" t="inlineStr"/>
    </row>
    <row r="16" ht="46" customHeight="1">
      <c r="A16" s="24" t="inlineStr">
        <is>
          <t>REP-012</t>
        </is>
      </c>
      <c r="B16" s="24" t="inlineStr">
        <is>
          <t>Reports List</t>
        </is>
      </c>
      <c r="C16" s="24" t="inlineStr">
        <is>
          <t>Validate retention date boundaries checking engine</t>
        </is>
      </c>
      <c r="D16" s="24" t="inlineStr">
        <is>
          <t>A file asset timestamp record is manually set back by 32 days in database fields.</t>
        </is>
      </c>
      <c r="E16" s="24" t="inlineStr">
        <is>
          <t>1. Refresh dashboard report monitoring module.</t>
        </is>
      </c>
      <c r="F16" s="24" t="inlineStr">
        <is>
          <t>File creation date modification parameters</t>
        </is>
      </c>
      <c r="G16" s="24" t="inlineStr">
        <is>
          <t>The expired report record no longer lists on the active index list grid view.</t>
        </is>
      </c>
      <c r="H16" s="24" t="inlineStr"/>
      <c r="I16" s="24" t="inlineStr">
        <is>
          <t>Not Run</t>
        </is>
      </c>
      <c r="J16" s="24" t="inlineStr">
        <is>
          <t>Medium</t>
        </is>
      </c>
      <c r="K16" s="24" t="inlineStr">
        <is>
          <t>Functional</t>
        </is>
      </c>
      <c r="L16" s="24" t="inlineStr">
        <is>
          <t>QA Team</t>
        </is>
      </c>
      <c r="M16" s="24" t="inlineStr"/>
      <c r="N16" s="24" t="inlineStr"/>
    </row>
    <row r="17" ht="46" customHeight="1">
      <c r="A17" s="23" t="inlineStr">
        <is>
          <t>REP-013</t>
        </is>
      </c>
      <c r="B17" s="23" t="inlineStr">
        <is>
          <t>Reports List</t>
        </is>
      </c>
      <c r="C17" s="23" t="inlineStr">
        <is>
          <t>Verify search index execution for numeric string tags</t>
        </is>
      </c>
      <c r="D17" s="23" t="inlineStr">
        <is>
          <t>An asset configuration hash parameter is identified.</t>
        </is>
      </c>
      <c r="E17" s="23" t="inlineStr">
        <is>
          <t>1. Input full hash string sequence inside query box.</t>
        </is>
      </c>
      <c r="F17" s="23" t="inlineStr">
        <is>
          <t>Input: 'RPT-2026-X77A'</t>
        </is>
      </c>
      <c r="G17" s="23" t="inlineStr">
        <is>
          <t>Grid isolates the exact targeted report asset immediately within milliseconds.</t>
        </is>
      </c>
      <c r="H17" s="23" t="inlineStr"/>
      <c r="I17" s="23" t="inlineStr">
        <is>
          <t>Not Run</t>
        </is>
      </c>
      <c r="J17" s="23" t="inlineStr">
        <is>
          <t>Low</t>
        </is>
      </c>
      <c r="K17" s="23" t="inlineStr">
        <is>
          <t>Functional</t>
        </is>
      </c>
      <c r="L17" s="23" t="inlineStr">
        <is>
          <t>QA Team</t>
        </is>
      </c>
      <c r="M17" s="23" t="inlineStr"/>
      <c r="N17" s="23" t="inlineStr"/>
    </row>
    <row r="18" ht="46" customHeight="1">
      <c r="A18" s="24" t="inlineStr">
        <is>
          <t>REP-014</t>
        </is>
      </c>
      <c r="B18" s="24" t="inlineStr">
        <is>
          <t>Reports List</t>
        </is>
      </c>
      <c r="C18" s="24" t="inlineStr">
        <is>
          <t>Verify sorting column toggles state persistence</t>
        </is>
      </c>
      <c r="D18" s="24" t="inlineStr">
        <is>
          <t>Reports table loads variable rows.</t>
        </is>
      </c>
      <c r="E18" s="24" t="inlineStr">
        <is>
          <t>1. Resize 'Report Name' column header line handle.</t>
        </is>
      </c>
      <c r="F18" s="24" t="inlineStr">
        <is>
          <t>N/A</t>
        </is>
      </c>
      <c r="G18" s="24" t="inlineStr">
        <is>
          <t>Adjacent data cells adapt to changes cleanly without text breaking out of field margins.</t>
        </is>
      </c>
      <c r="H18" s="24" t="inlineStr"/>
      <c r="I18" s="24" t="inlineStr">
        <is>
          <t>Not Run</t>
        </is>
      </c>
      <c r="J18" s="24" t="inlineStr">
        <is>
          <t>Low</t>
        </is>
      </c>
      <c r="K18" s="24" t="inlineStr">
        <is>
          <t>Functional</t>
        </is>
      </c>
      <c r="L18" s="24" t="inlineStr">
        <is>
          <t>QA Team</t>
        </is>
      </c>
      <c r="M18" s="24" t="inlineStr"/>
      <c r="N18" s="24" t="inlineStr"/>
    </row>
    <row r="19" ht="46" customHeight="1">
      <c r="A19" s="23" t="inlineStr">
        <is>
          <t>REP-015</t>
        </is>
      </c>
      <c r="B19" s="23" t="inlineStr">
        <is>
          <t>Reports List</t>
        </is>
      </c>
      <c r="C19" s="23" t="inlineStr">
        <is>
          <t>Validate authorization tokens on heavy CSV dumps</t>
        </is>
      </c>
      <c r="D19" s="23" t="inlineStr">
        <is>
          <t>User session token is set to expire mid-download transaction sequence.</t>
        </is>
      </c>
      <c r="E19" s="23" t="inlineStr">
        <is>
          <t>1. Fire extraction stream request for 500,000 data items.</t>
        </is>
      </c>
      <c r="F19" s="23" t="inlineStr">
        <is>
          <t>N/A</t>
        </is>
      </c>
      <c r="G19" s="23" t="inlineStr">
        <is>
          <t>Midway stream stops and returns an error if token expires before completion, ensuring absolute security.</t>
        </is>
      </c>
      <c r="H19" s="23" t="inlineStr"/>
      <c r="I19" s="23" t="inlineStr">
        <is>
          <t>Not Run</t>
        </is>
      </c>
      <c r="J19" s="23" t="inlineStr">
        <is>
          <t>High</t>
        </is>
      </c>
      <c r="K19" s="23" t="inlineStr">
        <is>
          <t>Functional</t>
        </is>
      </c>
      <c r="L19" s="23" t="inlineStr">
        <is>
          <t>QA Team</t>
        </is>
      </c>
      <c r="M19" s="23" t="inlineStr"/>
      <c r="N19" s="23" t="inlineStr"/>
    </row>
    <row r="20" ht="46" customHeight="1">
      <c r="A20" s="24" t="inlineStr">
        <is>
          <t>REP-016</t>
        </is>
      </c>
      <c r="B20" s="24" t="inlineStr">
        <is>
          <t>Reports List</t>
        </is>
      </c>
      <c r="C20" s="24" t="inlineStr">
        <is>
          <t>Route smoke test</t>
        </is>
      </c>
      <c r="D20" s="24" t="inlineStr">
        <is>
          <t>Development server running</t>
        </is>
      </c>
      <c r="E20" s="24" t="inlineStr">
        <is>
          <t>Open the implemented route on localhost:4200</t>
        </is>
      </c>
      <c r="F20" s="24" t="inlineStr">
        <is>
          <t>See steps</t>
        </is>
      </c>
      <c r="G20" s="24" t="inlineStr">
        <is>
          <t>The Angular route resolves without a 404.</t>
        </is>
      </c>
      <c r="H20" s="24" t="inlineStr">
        <is>
          <t>Not executed: requires isolated test data, credentials, or controlled API failure.</t>
        </is>
      </c>
      <c r="I20" s="24" t="inlineStr">
        <is>
          <t>Not Run</t>
        </is>
      </c>
      <c r="J20" s="24" t="inlineStr">
        <is>
          <t>Medium</t>
        </is>
      </c>
      <c r="K20" s="24" t="inlineStr">
        <is>
          <t>Functional</t>
        </is>
      </c>
      <c r="L20" s="24" t="inlineStr">
        <is>
          <t>Codex QA</t>
        </is>
      </c>
      <c r="M20" s="24" t="inlineStr">
        <is>
          <t>2026-07-20</t>
        </is>
      </c>
      <c r="N20" s="24" t="inlineStr">
        <is>
          <t>Designed from the implemented UI and service contract.</t>
        </is>
      </c>
    </row>
    <row r="21" ht="46" customHeight="1">
      <c r="A21" s="23" t="inlineStr">
        <is>
          <t>REP-017</t>
        </is>
      </c>
      <c r="B21" s="23" t="inlineStr">
        <is>
          <t>Reports List</t>
        </is>
      </c>
      <c r="C21" s="23" t="inlineStr">
        <is>
          <t>Read-only API availability</t>
        </is>
      </c>
      <c r="D21" s="23" t="inlineStr">
        <is>
          <t>Local API at localhost:8080</t>
        </is>
      </c>
      <c r="E21" s="23" t="inlineStr">
        <is>
          <t>Load page with the local API running</t>
        </is>
      </c>
      <c r="F21" s="23" t="inlineStr">
        <is>
          <t>See steps</t>
        </is>
      </c>
      <c r="G21" s="23" t="inlineStr">
        <is>
          <t>Read-only data requests complete or a user-visible error is shown.</t>
        </is>
      </c>
      <c r="H21" s="23" t="inlineStr">
        <is>
          <t>Not executed: requires isolated test data, credentials, or controlled API failure.</t>
        </is>
      </c>
      <c r="I21" s="23" t="inlineStr">
        <is>
          <t>Not Run</t>
        </is>
      </c>
      <c r="J21" s="23" t="inlineStr">
        <is>
          <t>Medium</t>
        </is>
      </c>
      <c r="K21" s="23" t="inlineStr">
        <is>
          <t>Functional</t>
        </is>
      </c>
      <c r="L21" s="23" t="inlineStr">
        <is>
          <t>Codex QA</t>
        </is>
      </c>
      <c r="M21" s="23" t="inlineStr">
        <is>
          <t>2026-07-20</t>
        </is>
      </c>
      <c r="N21" s="23" t="inlineStr">
        <is>
          <t>Designed from the implemented UI and service contract.</t>
        </is>
      </c>
    </row>
    <row r="22" ht="46" customHeight="1">
      <c r="A22" s="24" t="inlineStr">
        <is>
          <t>REP-018</t>
        </is>
      </c>
      <c r="B22" s="24" t="inlineStr">
        <is>
          <t>Reports List</t>
        </is>
      </c>
      <c r="C22" s="24" t="inlineStr">
        <is>
          <t>Data-changing regression</t>
        </is>
      </c>
      <c r="D22" s="24" t="inlineStr">
        <is>
          <t>Dedicated test database and account</t>
        </is>
      </c>
      <c r="E22" s="24" t="inlineStr">
        <is>
          <t>Create, edit, or delete a record using an isolated test account</t>
        </is>
      </c>
      <c r="F22" s="24" t="inlineStr">
        <is>
          <t>See steps</t>
        </is>
      </c>
      <c r="G22" s="24" t="inlineStr">
        <is>
          <t>Only the test record is changed and can be cleaned up.</t>
        </is>
      </c>
      <c r="H22" s="24" t="inlineStr">
        <is>
          <t>Not executed: requires isolated test data, credentials, or controlled API failure.</t>
        </is>
      </c>
      <c r="I22" s="24" t="inlineStr">
        <is>
          <t>Not Run</t>
        </is>
      </c>
      <c r="J22" s="24" t="inlineStr">
        <is>
          <t>Medium</t>
        </is>
      </c>
      <c r="K22" s="24" t="inlineStr">
        <is>
          <t>Functional</t>
        </is>
      </c>
      <c r="L22" s="24" t="inlineStr">
        <is>
          <t>Codex QA</t>
        </is>
      </c>
      <c r="M22" s="24" t="inlineStr">
        <is>
          <t>2026-07-20</t>
        </is>
      </c>
      <c r="N22" s="24" t="inlineStr">
        <is>
          <t>Designed from the implemented UI and service contract.</t>
        </is>
      </c>
    </row>
  </sheetData>
  <autoFilter ref="A4:N22"/>
  <mergeCells count="2">
    <mergeCell ref="A2:N2"/>
    <mergeCell ref="A1:N1"/>
  </mergeCells>
  <conditionalFormatting sqref="I5:I22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"Not Run"</formula>
    </cfRule>
    <cfRule type="cellIs" priority="4" operator="equal" dxfId="3">
      <formula>"Blocked"</formula>
    </cfRule>
  </conditionalFormatting>
  <dataValidations count="1">
    <dataValidation sqref="I5:I22" showDropDown="0" showInputMessage="0" showErrorMessage="0" allowBlank="0" type="list">
      <formula1>"Passed,Failed,Blocked,Not Run"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28" customWidth="1" min="4" max="4"/>
    <col width="40" customWidth="1" min="5" max="5"/>
    <col width="22" customWidth="1" min="6" max="6"/>
    <col width="38" customWidth="1" min="7" max="7"/>
    <col width="38" customWidth="1" min="8" max="8"/>
    <col width="14" customWidth="1" min="9" max="9"/>
    <col width="12" customWidth="1" min="10" max="10"/>
    <col width="15" customWidth="1" min="11" max="11"/>
    <col width="16" customWidth="1" min="12" max="12"/>
    <col width="16" customWidth="1" min="13" max="13"/>
    <col width="30" customWidth="1" min="14" max="14"/>
  </cols>
  <sheetData>
    <row r="1" ht="38" customHeight="1">
      <c r="A1" s="1" t="inlineStr">
        <is>
          <t>Compose Report</t>
        </is>
      </c>
    </row>
    <row r="2" ht="24" customHeight="1">
      <c r="A2" s="2" t="inlineStr">
        <is>
          <t>NTG Admin Module • QA test cases • Last updated: 2026-07-20</t>
        </is>
      </c>
    </row>
    <row r="4" ht="30" customHeight="1">
      <c r="A4" s="22" t="inlineStr">
        <is>
          <t>Test ID</t>
        </is>
      </c>
      <c r="B4" s="22" t="inlineStr">
        <is>
          <t>Feature</t>
        </is>
      </c>
      <c r="C4" s="22" t="inlineStr">
        <is>
          <t>Test Scenario</t>
        </is>
      </c>
      <c r="D4" s="22" t="inlineStr">
        <is>
          <t>Preconditions</t>
        </is>
      </c>
      <c r="E4" s="22" t="inlineStr">
        <is>
          <t>Test Steps</t>
        </is>
      </c>
      <c r="F4" s="22" t="inlineStr">
        <is>
          <t>Test Data</t>
        </is>
      </c>
      <c r="G4" s="22" t="inlineStr">
        <is>
          <t>Expected Result</t>
        </is>
      </c>
      <c r="H4" s="22" t="inlineStr">
        <is>
          <t>Actual Result</t>
        </is>
      </c>
      <c r="I4" s="22" t="inlineStr">
        <is>
          <t>Status</t>
        </is>
      </c>
      <c r="J4" s="22" t="inlineStr">
        <is>
          <t>Priority</t>
        </is>
      </c>
      <c r="K4" s="22" t="inlineStr">
        <is>
          <t>Test Type</t>
        </is>
      </c>
      <c r="L4" s="22" t="inlineStr">
        <is>
          <t>Tester</t>
        </is>
      </c>
      <c r="M4" s="22" t="inlineStr">
        <is>
          <t>Execution Date</t>
        </is>
      </c>
      <c r="N4" s="22" t="inlineStr">
        <is>
          <t>Notes</t>
        </is>
      </c>
    </row>
    <row r="5" ht="46" customHeight="1">
      <c r="A5" s="23" t="inlineStr">
        <is>
          <t>COM-001</t>
        </is>
      </c>
      <c r="B5" s="23" t="inlineStr">
        <is>
          <t>Compose Report</t>
        </is>
      </c>
      <c r="C5" s="23" t="inlineStr">
        <is>
          <t>Route smoke test</t>
        </is>
      </c>
      <c r="D5" s="23" t="inlineStr">
        <is>
          <t>Development server running</t>
        </is>
      </c>
      <c r="E5" s="23" t="inlineStr">
        <is>
          <t>Open the implemented route on localhost:4200</t>
        </is>
      </c>
      <c r="F5" s="23" t="inlineStr">
        <is>
          <t>See steps</t>
        </is>
      </c>
      <c r="G5" s="23" t="inlineStr">
        <is>
          <t>The Angular route resolves without a 404.</t>
        </is>
      </c>
      <c r="H5" s="23" t="inlineStr">
        <is>
          <t>Not executed: requires isolated test data, credentials, or controlled API failure.</t>
        </is>
      </c>
      <c r="I5" s="23" t="inlineStr">
        <is>
          <t>Not Run</t>
        </is>
      </c>
      <c r="J5" s="23" t="inlineStr">
        <is>
          <t>Medium</t>
        </is>
      </c>
      <c r="K5" s="23" t="inlineStr">
        <is>
          <t>Functional</t>
        </is>
      </c>
      <c r="L5" s="23" t="inlineStr">
        <is>
          <t>Codex QA</t>
        </is>
      </c>
      <c r="M5" s="23" t="inlineStr">
        <is>
          <t>2026-07-20</t>
        </is>
      </c>
      <c r="N5" s="23" t="inlineStr">
        <is>
          <t>Designed from the implemented UI and service contract.</t>
        </is>
      </c>
    </row>
    <row r="6" ht="46" customHeight="1">
      <c r="A6" s="24" t="inlineStr">
        <is>
          <t>COM-002</t>
        </is>
      </c>
      <c r="B6" s="24" t="inlineStr">
        <is>
          <t>Compose Report</t>
        </is>
      </c>
      <c r="C6" s="24" t="inlineStr">
        <is>
          <t>Read-only API availability</t>
        </is>
      </c>
      <c r="D6" s="24" t="inlineStr">
        <is>
          <t>Local API at localhost:8080</t>
        </is>
      </c>
      <c r="E6" s="24" t="inlineStr">
        <is>
          <t>Load page with the local API running</t>
        </is>
      </c>
      <c r="F6" s="24" t="inlineStr">
        <is>
          <t>See steps</t>
        </is>
      </c>
      <c r="G6" s="24" t="inlineStr">
        <is>
          <t>Read-only data requests complete or a user-visible error is shown.</t>
        </is>
      </c>
      <c r="H6" s="24" t="inlineStr">
        <is>
          <t>Not executed: requires isolated test data, credentials, or controlled API failure.</t>
        </is>
      </c>
      <c r="I6" s="24" t="inlineStr">
        <is>
          <t>Not Run</t>
        </is>
      </c>
      <c r="J6" s="24" t="inlineStr">
        <is>
          <t>Medium</t>
        </is>
      </c>
      <c r="K6" s="24" t="inlineStr">
        <is>
          <t>Functional</t>
        </is>
      </c>
      <c r="L6" s="24" t="inlineStr">
        <is>
          <t>Codex QA</t>
        </is>
      </c>
      <c r="M6" s="24" t="inlineStr">
        <is>
          <t>2026-07-20</t>
        </is>
      </c>
      <c r="N6" s="24" t="inlineStr">
        <is>
          <t>Designed from the implemented UI and service contract.</t>
        </is>
      </c>
    </row>
    <row r="7" ht="46" customHeight="1">
      <c r="A7" s="23" t="inlineStr">
        <is>
          <t>COM-003</t>
        </is>
      </c>
      <c r="B7" s="23" t="inlineStr">
        <is>
          <t>Compose Report</t>
        </is>
      </c>
      <c r="C7" s="23" t="inlineStr">
        <is>
          <t>Data-changing regression</t>
        </is>
      </c>
      <c r="D7" s="23" t="inlineStr">
        <is>
          <t>Dedicated test database and account</t>
        </is>
      </c>
      <c r="E7" s="23" t="inlineStr">
        <is>
          <t>Create, edit, or delete a record using an isolated test account</t>
        </is>
      </c>
      <c r="F7" s="23" t="inlineStr">
        <is>
          <t>See steps</t>
        </is>
      </c>
      <c r="G7" s="23" t="inlineStr">
        <is>
          <t>Only the test record is changed and can be cleaned up.</t>
        </is>
      </c>
      <c r="H7" s="23" t="inlineStr">
        <is>
          <t>Not executed: requires isolated test data, credentials, or controlled API failure.</t>
        </is>
      </c>
      <c r="I7" s="23" t="inlineStr">
        <is>
          <t>Not Run</t>
        </is>
      </c>
      <c r="J7" s="23" t="inlineStr">
        <is>
          <t>Medium</t>
        </is>
      </c>
      <c r="K7" s="23" t="inlineStr">
        <is>
          <t>Functional</t>
        </is>
      </c>
      <c r="L7" s="23" t="inlineStr">
        <is>
          <t>Codex QA</t>
        </is>
      </c>
      <c r="M7" s="23" t="inlineStr">
        <is>
          <t>2026-07-20</t>
        </is>
      </c>
      <c r="N7" s="23" t="inlineStr">
        <is>
          <t>Designed from the implemented UI and service contract.</t>
        </is>
      </c>
    </row>
  </sheetData>
  <autoFilter ref="A4:N7"/>
  <mergeCells count="2">
    <mergeCell ref="A2:N2"/>
    <mergeCell ref="A1:N1"/>
  </mergeCells>
  <conditionalFormatting sqref="I5:I7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"Not Run"</formula>
    </cfRule>
    <cfRule type="cellIs" priority="4" operator="equal" dxfId="3">
      <formula>"Blocked"</formula>
    </cfRule>
  </conditionalFormatting>
  <dataValidations count="1">
    <dataValidation sqref="I5:I7" showDropDown="0" showInputMessage="0" showErrorMessage="0" allowBlank="0" type="list">
      <formula1>"Passed,Failed,Blocked,Not Run"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28" customWidth="1" min="4" max="4"/>
    <col width="40" customWidth="1" min="5" max="5"/>
    <col width="22" customWidth="1" min="6" max="6"/>
    <col width="38" customWidth="1" min="7" max="7"/>
    <col width="38" customWidth="1" min="8" max="8"/>
    <col width="14" customWidth="1" min="9" max="9"/>
    <col width="12" customWidth="1" min="10" max="10"/>
    <col width="15" customWidth="1" min="11" max="11"/>
    <col width="16" customWidth="1" min="12" max="12"/>
    <col width="16" customWidth="1" min="13" max="13"/>
    <col width="30" customWidth="1" min="14" max="14"/>
  </cols>
  <sheetData>
    <row r="1" ht="38" customHeight="1">
      <c r="A1" s="1" t="inlineStr">
        <is>
          <t>Send Email</t>
        </is>
      </c>
    </row>
    <row r="2" ht="24" customHeight="1">
      <c r="A2" s="2" t="inlineStr">
        <is>
          <t>NTG Admin Module • QA test cases • Last updated: 2026-07-20</t>
        </is>
      </c>
    </row>
    <row r="4" ht="30" customHeight="1">
      <c r="A4" s="22" t="inlineStr">
        <is>
          <t>Test ID</t>
        </is>
      </c>
      <c r="B4" s="22" t="inlineStr">
        <is>
          <t>Feature</t>
        </is>
      </c>
      <c r="C4" s="22" t="inlineStr">
        <is>
          <t>Test Scenario</t>
        </is>
      </c>
      <c r="D4" s="22" t="inlineStr">
        <is>
          <t>Preconditions</t>
        </is>
      </c>
      <c r="E4" s="22" t="inlineStr">
        <is>
          <t>Test Steps</t>
        </is>
      </c>
      <c r="F4" s="22" t="inlineStr">
        <is>
          <t>Test Data</t>
        </is>
      </c>
      <c r="G4" s="22" t="inlineStr">
        <is>
          <t>Expected Result</t>
        </is>
      </c>
      <c r="H4" s="22" t="inlineStr">
        <is>
          <t>Actual Result</t>
        </is>
      </c>
      <c r="I4" s="22" t="inlineStr">
        <is>
          <t>Status</t>
        </is>
      </c>
      <c r="J4" s="22" t="inlineStr">
        <is>
          <t>Priority</t>
        </is>
      </c>
      <c r="K4" s="22" t="inlineStr">
        <is>
          <t>Test Type</t>
        </is>
      </c>
      <c r="L4" s="22" t="inlineStr">
        <is>
          <t>Tester</t>
        </is>
      </c>
      <c r="M4" s="22" t="inlineStr">
        <is>
          <t>Execution Date</t>
        </is>
      </c>
      <c r="N4" s="22" t="inlineStr">
        <is>
          <t>Notes</t>
        </is>
      </c>
    </row>
    <row r="5" ht="46" customHeight="1">
      <c r="A5" s="23" t="inlineStr">
        <is>
          <t>SEN-001</t>
        </is>
      </c>
      <c r="B5" s="23" t="inlineStr">
        <is>
          <t>Send Email</t>
        </is>
      </c>
      <c r="C5" s="23" t="inlineStr">
        <is>
          <t>Successful Email Transmission</t>
        </is>
      </c>
      <c r="D5" s="23" t="inlineStr">
        <is>
          <t>User is authenticated and SMTP server is active.</t>
        </is>
      </c>
      <c r="E5" s="23" t="inlineStr">
        <is>
          <t>1. Fill 'To', 'Subject', and 'Message' fields.
2. Click the 'Send' button.</t>
        </is>
      </c>
      <c r="F5" s="23" t="inlineStr">
        <is>
          <t>To: test@student.com, Subject: 'Welcome', Body: 'Hello...'</t>
        </is>
      </c>
      <c r="G5" s="23" t="inlineStr">
        <is>
          <t>Email sends successfully. Confirmation toast 'Email sent successfully!' appears.</t>
        </is>
      </c>
      <c r="H5" s="23" t="inlineStr"/>
      <c r="I5" s="23" t="inlineStr">
        <is>
          <t>Passed</t>
        </is>
      </c>
      <c r="J5" s="23" t="inlineStr">
        <is>
          <t>High</t>
        </is>
      </c>
      <c r="K5" s="23" t="inlineStr">
        <is>
          <t>Functional</t>
        </is>
      </c>
      <c r="L5" s="23" t="inlineStr">
        <is>
          <t>QA Team</t>
        </is>
      </c>
      <c r="M5" s="23" t="inlineStr"/>
      <c r="N5" s="23" t="inlineStr"/>
    </row>
    <row r="6" ht="46" customHeight="1">
      <c r="A6" s="24" t="inlineStr">
        <is>
          <t>SEN-002</t>
        </is>
      </c>
      <c r="B6" s="24" t="inlineStr">
        <is>
          <t>Send Email</t>
        </is>
      </c>
      <c r="C6" s="24" t="inlineStr">
        <is>
          <t>Email Format Validation</t>
        </is>
      </c>
      <c r="D6" s="24" t="inlineStr">
        <is>
          <t>User is on the Send Email page.</t>
        </is>
      </c>
      <c r="E6" s="24" t="inlineStr">
        <is>
          <t>1. Type an invalid email format.
2. Click 'Send'.</t>
        </is>
      </c>
      <c r="F6" s="24" t="inlineStr">
        <is>
          <t>To: invalid_email#domain.com</t>
        </is>
      </c>
      <c r="G6" s="24" t="inlineStr">
        <is>
          <t>System blocks transmission, highlights field in red, and displays 'Please enter a valid email address'.</t>
        </is>
      </c>
      <c r="H6" s="24" t="inlineStr"/>
      <c r="I6" s="24" t="inlineStr">
        <is>
          <t>Passed</t>
        </is>
      </c>
      <c r="J6" s="24" t="inlineStr">
        <is>
          <t>Medium</t>
        </is>
      </c>
      <c r="K6" s="24" t="inlineStr">
        <is>
          <t>Functional</t>
        </is>
      </c>
      <c r="L6" s="24" t="inlineStr">
        <is>
          <t>QA Team</t>
        </is>
      </c>
      <c r="M6" s="24" t="inlineStr"/>
      <c r="N6" s="24" t="inlineStr"/>
    </row>
    <row r="7" ht="46" customHeight="1">
      <c r="A7" s="23" t="inlineStr">
        <is>
          <t>SEN-003</t>
        </is>
      </c>
      <c r="B7" s="23" t="inlineStr">
        <is>
          <t>Send Email</t>
        </is>
      </c>
      <c r="C7" s="23" t="inlineStr">
        <is>
          <t>Attachment Constraints</t>
        </is>
      </c>
      <c r="D7" s="23" t="inlineStr">
        <is>
          <t>User is preparing an email.</t>
        </is>
      </c>
      <c r="E7" s="23" t="inlineStr">
        <is>
          <t>1. Attach a file larger than the maximum limit.</t>
        </is>
      </c>
      <c r="F7" s="23" t="inlineStr">
        <is>
          <t>File size: 30MB PDF (Limit: 15MB)</t>
        </is>
      </c>
      <c r="G7" s="23" t="inlineStr">
        <is>
          <t>Upload is blocked immediately with warning: 'File size exceeds the 15MB maximum limit.'</t>
        </is>
      </c>
      <c r="H7" s="23" t="inlineStr"/>
      <c r="I7" s="23" t="inlineStr">
        <is>
          <t>Passed</t>
        </is>
      </c>
      <c r="J7" s="23" t="inlineStr">
        <is>
          <t>Medium</t>
        </is>
      </c>
      <c r="K7" s="23" t="inlineStr">
        <is>
          <t>Functional</t>
        </is>
      </c>
      <c r="L7" s="23" t="inlineStr">
        <is>
          <t>QA Team</t>
        </is>
      </c>
      <c r="M7" s="23" t="inlineStr"/>
      <c r="N7" s="23" t="inlineStr"/>
    </row>
    <row r="8" ht="46" customHeight="1">
      <c r="A8" s="24" t="inlineStr">
        <is>
          <t>SEN-004</t>
        </is>
      </c>
      <c r="B8" s="24" t="inlineStr">
        <is>
          <t>Send Email</t>
        </is>
      </c>
      <c r="C8" s="24" t="inlineStr">
        <is>
          <t>Mandatory Field Validations</t>
        </is>
      </c>
      <c r="D8" s="24" t="inlineStr">
        <is>
          <t>User is on Send Email page.</t>
        </is>
      </c>
      <c r="E8" s="24" t="inlineStr">
        <is>
          <t>1. Fill 'Subject' but leave 'To' and 'Message' entirely blank.
2. Click 'Send'.</t>
        </is>
      </c>
      <c r="F8" s="24" t="inlineStr">
        <is>
          <t>To: [Blank]</t>
        </is>
      </c>
      <c r="G8" s="24" t="inlineStr">
        <is>
          <t>Form submission is rejected; validation errors appear under 'To' and 'Message' fields.</t>
        </is>
      </c>
      <c r="H8" s="24" t="inlineStr"/>
      <c r="I8" s="24" t="inlineStr">
        <is>
          <t>Passed</t>
        </is>
      </c>
      <c r="J8" s="24" t="inlineStr">
        <is>
          <t>High</t>
        </is>
      </c>
      <c r="K8" s="24" t="inlineStr">
        <is>
          <t>Functional</t>
        </is>
      </c>
      <c r="L8" s="24" t="inlineStr">
        <is>
          <t>QA Team</t>
        </is>
      </c>
      <c r="M8" s="24" t="inlineStr"/>
      <c r="N8" s="24" t="inlineStr"/>
    </row>
    <row r="9" ht="46" customHeight="1">
      <c r="A9" s="23" t="inlineStr">
        <is>
          <t>SEN-005</t>
        </is>
      </c>
      <c r="B9" s="23" t="inlineStr">
        <is>
          <t>Send Email</t>
        </is>
      </c>
      <c r="C9" s="23" t="inlineStr">
        <is>
          <t>Multiple Recipients Support</t>
        </is>
      </c>
      <c r="D9" s="23" t="inlineStr">
        <is>
          <t>SMTP configurations support multi-recipient mailing.</t>
        </is>
      </c>
      <c r="E9" s="23" t="inlineStr">
        <is>
          <t>1. Enter multiple valid emails separated by commas in the 'To' field.
2. Click 'Send'.</t>
        </is>
      </c>
      <c r="F9" s="23" t="inlineStr">
        <is>
          <t>To: user1@test.com, user2@test.com</t>
        </is>
      </c>
      <c r="G9" s="23" t="inlineStr">
        <is>
          <t>Email is successfully transmitted to both mailboxes simultaneously.</t>
        </is>
      </c>
      <c r="H9" s="23" t="inlineStr"/>
      <c r="I9" s="23" t="inlineStr">
        <is>
          <t>Passed</t>
        </is>
      </c>
      <c r="J9" s="23" t="inlineStr">
        <is>
          <t>Medium</t>
        </is>
      </c>
      <c r="K9" s="23" t="inlineStr">
        <is>
          <t>Functional</t>
        </is>
      </c>
      <c r="L9" s="23" t="inlineStr">
        <is>
          <t>QA Team</t>
        </is>
      </c>
      <c r="M9" s="23" t="inlineStr"/>
      <c r="N9" s="23" t="inlineStr"/>
    </row>
    <row r="10" ht="46" customHeight="1">
      <c r="A10" s="24" t="inlineStr">
        <is>
          <t>SEN-006</t>
        </is>
      </c>
      <c r="B10" s="24" t="inlineStr">
        <is>
          <t>Send Email</t>
        </is>
      </c>
      <c r="C10" s="24" t="inlineStr">
        <is>
          <t>Rich Text Formatting Retention</t>
        </is>
      </c>
      <c r="D10" s="24" t="inlineStr">
        <is>
          <t>Rich text editor plugin is integrated into the body field.</t>
        </is>
      </c>
      <c r="E10" s="24" t="inlineStr">
        <is>
          <t>1. Apply bold format to a word and add a bulleted list.
2. Send email to a test account.</t>
        </is>
      </c>
      <c r="F10" s="24" t="inlineStr">
        <is>
          <t>Formatted text body</t>
        </is>
      </c>
      <c r="G10" s="24" t="inlineStr">
        <is>
          <t>The recipient receives the email with all bold stylings and bullet structures perfectly preserved.</t>
        </is>
      </c>
      <c r="H10" s="24" t="inlineStr"/>
      <c r="I10" s="24" t="inlineStr">
        <is>
          <t>Passed</t>
        </is>
      </c>
      <c r="J10" s="24" t="inlineStr">
        <is>
          <t>Low</t>
        </is>
      </c>
      <c r="K10" s="24" t="inlineStr">
        <is>
          <t>Functional</t>
        </is>
      </c>
      <c r="L10" s="24" t="inlineStr">
        <is>
          <t>QA Team</t>
        </is>
      </c>
      <c r="M10" s="24" t="inlineStr"/>
      <c r="N10" s="24" t="inlineStr"/>
    </row>
    <row r="11" ht="46" customHeight="1">
      <c r="A11" s="23" t="inlineStr">
        <is>
          <t>SEN-007</t>
        </is>
      </c>
      <c r="B11" s="23" t="inlineStr">
        <is>
          <t>Send Email</t>
        </is>
      </c>
      <c r="C11" s="23" t="inlineStr">
        <is>
          <t>Verify automatic draft auto-save behavior</t>
        </is>
      </c>
      <c r="D11" s="23" t="inlineStr">
        <is>
          <t>User opens a blank compose view email panel.</t>
        </is>
      </c>
      <c r="E11" s="23" t="inlineStr">
        <is>
          <t>1. Start typing a message body.
2. Wait 30 seconds without clicking send.</t>
        </is>
      </c>
      <c r="F11" s="23" t="inlineStr">
        <is>
          <t>Draft text payload inputs</t>
        </is>
      </c>
      <c r="G11" s="23" t="inlineStr">
        <is>
          <t>A quiet status footer message shows 'Draft saved successfully' and the backend draft record is updated.</t>
        </is>
      </c>
      <c r="H11" s="23" t="inlineStr"/>
      <c r="I11" s="23" t="inlineStr">
        <is>
          <t>Not Run</t>
        </is>
      </c>
      <c r="J11" s="23" t="inlineStr">
        <is>
          <t>Low</t>
        </is>
      </c>
      <c r="K11" s="23" t="inlineStr">
        <is>
          <t>Functional</t>
        </is>
      </c>
      <c r="L11" s="23" t="inlineStr">
        <is>
          <t>QA Team</t>
        </is>
      </c>
      <c r="M11" s="23" t="inlineStr"/>
      <c r="N11" s="23" t="inlineStr"/>
    </row>
    <row r="12" ht="46" customHeight="1">
      <c r="A12" s="24" t="inlineStr">
        <is>
          <t>SEN-008</t>
        </is>
      </c>
      <c r="B12" s="24" t="inlineStr">
        <is>
          <t>Send Email</t>
        </is>
      </c>
      <c r="C12" s="24" t="inlineStr">
        <is>
          <t>Verify transmission handling during active internet outage</t>
        </is>
      </c>
      <c r="D12" s="24" t="inlineStr">
        <is>
          <t>Network connection is disconnected via developer tools right before submission.</t>
        </is>
      </c>
      <c r="E12" s="24" t="inlineStr">
        <is>
          <t>1. Click the 'Send Email' button.
2. Trigger simulated offline mode.</t>
        </is>
      </c>
      <c r="F12" s="24" t="inlineStr">
        <is>
          <t>N/A</t>
        </is>
      </c>
      <c r="G12" s="24" t="inlineStr">
        <is>
          <t>System alerts user: 'Connection lost. Message queued for automatic delivery upon reconnection.' No text is lost.</t>
        </is>
      </c>
      <c r="H12" s="24" t="inlineStr"/>
      <c r="I12" s="24" t="inlineStr">
        <is>
          <t>Not Run</t>
        </is>
      </c>
      <c r="J12" s="24" t="inlineStr">
        <is>
          <t>High</t>
        </is>
      </c>
      <c r="K12" s="24" t="inlineStr">
        <is>
          <t>Functional</t>
        </is>
      </c>
      <c r="L12" s="24" t="inlineStr">
        <is>
          <t>QA Team</t>
        </is>
      </c>
      <c r="M12" s="24" t="inlineStr"/>
      <c r="N12" s="24" t="inlineStr"/>
    </row>
    <row r="13" ht="46" customHeight="1">
      <c r="A13" s="23" t="inlineStr">
        <is>
          <t>SEN-009</t>
        </is>
      </c>
      <c r="B13" s="23" t="inlineStr">
        <is>
          <t>Send Email</t>
        </is>
      </c>
      <c r="C13" s="23" t="inlineStr">
        <is>
          <t>Verify template replacement placeholder parsing logic</t>
        </is>
      </c>
      <c r="D13" s="23" t="inlineStr">
        <is>
          <t>An active email template is selected.</t>
        </is>
      </c>
      <c r="E13" s="23" t="inlineStr">
        <is>
          <t>1. Select template 'Welcome Email'.
2. Review outbox generation payload array mappings.</t>
        </is>
      </c>
      <c r="F13" s="23" t="inlineStr">
        <is>
          <t>Template placeholder keys</t>
        </is>
      </c>
      <c r="G13" s="23" t="inlineStr">
        <is>
          <t>The recipient receives an email where the variable brackets are replaced by their actual real first name string.</t>
        </is>
      </c>
      <c r="H13" s="23" t="inlineStr"/>
      <c r="I13" s="23" t="inlineStr">
        <is>
          <t>Not Run</t>
        </is>
      </c>
      <c r="J13" s="23" t="inlineStr">
        <is>
          <t>High</t>
        </is>
      </c>
      <c r="K13" s="23" t="inlineStr">
        <is>
          <t>Functional</t>
        </is>
      </c>
      <c r="L13" s="23" t="inlineStr">
        <is>
          <t>QA Team</t>
        </is>
      </c>
      <c r="M13" s="23" t="inlineStr"/>
      <c r="N13" s="23" t="inlineStr"/>
    </row>
    <row r="14" ht="46" customHeight="1">
      <c r="A14" s="24" t="inlineStr">
        <is>
          <t>SEN-010</t>
        </is>
      </c>
      <c r="B14" s="24" t="inlineStr">
        <is>
          <t>Send Email</t>
        </is>
      </c>
      <c r="C14" s="24" t="inlineStr">
        <is>
          <t>Verify CC and BCC payload separation encapsulation</t>
        </is>
      </c>
      <c r="D14" s="24" t="inlineStr">
        <is>
          <t>Email sent with distinct To, CC, and BCC records.</t>
        </is>
      </c>
      <c r="E14" s="24" t="inlineStr">
        <is>
          <t>1. Populate To, CC, and BCC slots with test addresses.
2. Open received headers from the 'To' inbox.</t>
        </is>
      </c>
      <c r="F14" s="24" t="inlineStr">
        <is>
          <t>To: main@t.com, CC: cc@t.com, BCC: secret@t.com</t>
        </is>
      </c>
      <c r="G14" s="24" t="inlineStr">
        <is>
          <t>The header content maps 'To' and 'CC' visibly, but completely hides any traces of the 'BCC' mail string address.</t>
        </is>
      </c>
      <c r="H14" s="24" t="inlineStr"/>
      <c r="I14" s="24" t="inlineStr">
        <is>
          <t>Not Run</t>
        </is>
      </c>
      <c r="J14" s="24" t="inlineStr">
        <is>
          <t>Medium</t>
        </is>
      </c>
      <c r="K14" s="24" t="inlineStr">
        <is>
          <t>Functional</t>
        </is>
      </c>
      <c r="L14" s="24" t="inlineStr">
        <is>
          <t>QA Team</t>
        </is>
      </c>
      <c r="M14" s="24" t="inlineStr"/>
      <c r="N14" s="24" t="inlineStr"/>
    </row>
    <row r="15" ht="46" customHeight="1">
      <c r="A15" s="23" t="inlineStr">
        <is>
          <t>SEN-011</t>
        </is>
      </c>
      <c r="B15" s="23" t="inlineStr">
        <is>
          <t>Send Email</t>
        </is>
      </c>
      <c r="C15" s="23" t="inlineStr">
        <is>
          <t>Verify rich inline graphic content handling arrays</t>
        </is>
      </c>
      <c r="D15" s="23" t="inlineStr">
        <is>
          <t>SMTP data limits allow base64 string passing parameters.</t>
        </is>
      </c>
      <c r="E15" s="23" t="inlineStr">
        <is>
          <t>1. Copy paste an image block directly inside email text field box.
2. Send.</t>
        </is>
      </c>
      <c r="F15" s="23" t="inlineStr">
        <is>
          <t>Base64 image content stream block</t>
        </is>
      </c>
      <c r="G15" s="23" t="inlineStr">
        <is>
          <t>Message routes cleanly; target recipient loads graphic seamlessly inside inline views.</t>
        </is>
      </c>
      <c r="H15" s="23" t="inlineStr"/>
      <c r="I15" s="23" t="inlineStr">
        <is>
          <t>Not Run</t>
        </is>
      </c>
      <c r="J15" s="23" t="inlineStr">
        <is>
          <t>Medium</t>
        </is>
      </c>
      <c r="K15" s="23" t="inlineStr">
        <is>
          <t>Functional</t>
        </is>
      </c>
      <c r="L15" s="23" t="inlineStr">
        <is>
          <t>QA Team</t>
        </is>
      </c>
      <c r="M15" s="23" t="inlineStr"/>
      <c r="N15" s="23" t="inlineStr"/>
    </row>
    <row r="16" ht="46" customHeight="1">
      <c r="A16" s="24" t="inlineStr">
        <is>
          <t>SEN-012</t>
        </is>
      </c>
      <c r="B16" s="24" t="inlineStr">
        <is>
          <t>Send Email</t>
        </is>
      </c>
      <c r="C16" s="24" t="inlineStr">
        <is>
          <t>Validate email body whitespace truncation parameters</t>
        </is>
      </c>
      <c r="D16" s="24" t="inlineStr">
        <is>
          <t>Rich box contains extensive empty lines formatting adjustments.</t>
        </is>
      </c>
      <c r="E16" s="24" t="inlineStr">
        <is>
          <t>1. Insert 5 carriage returns before typing text.
2. Click dispatch email button element.</t>
        </is>
      </c>
      <c r="F16" s="24" t="inlineStr">
        <is>
          <t>Whitespace injection content</t>
        </is>
      </c>
      <c r="G16" s="24" t="inlineStr">
        <is>
          <t>System sanitizes unnecessary empty space strings to prevent payload waste.</t>
        </is>
      </c>
      <c r="H16" s="24" t="inlineStr"/>
      <c r="I16" s="24" t="inlineStr">
        <is>
          <t>Not Run</t>
        </is>
      </c>
      <c r="J16" s="24" t="inlineStr">
        <is>
          <t>Low</t>
        </is>
      </c>
      <c r="K16" s="24" t="inlineStr">
        <is>
          <t>Functional</t>
        </is>
      </c>
      <c r="L16" s="24" t="inlineStr">
        <is>
          <t>QA Team</t>
        </is>
      </c>
      <c r="M16" s="24" t="inlineStr"/>
      <c r="N16" s="24" t="inlineStr"/>
    </row>
    <row r="17" ht="46" customHeight="1">
      <c r="A17" s="23" t="inlineStr">
        <is>
          <t>SEN-013</t>
        </is>
      </c>
      <c r="B17" s="23" t="inlineStr">
        <is>
          <t>Send Email</t>
        </is>
      </c>
      <c r="C17" s="23" t="inlineStr">
        <is>
          <t>Verify failure alerts during target host rejections</t>
        </is>
      </c>
      <c r="D17" s="23" t="inlineStr">
        <is>
          <t>Target domain setup values are invalid.</t>
        </is>
      </c>
      <c r="E17" s="23" t="inlineStr">
        <is>
          <t>1. Send an email to non-existent address format parameters.</t>
        </is>
      </c>
      <c r="F17" s="23" t="inlineStr">
        <is>
          <t>To: ahmad@thisdomaindefinitelydoesnotexist.com</t>
        </is>
      </c>
      <c r="G17" s="23" t="inlineStr">
        <is>
          <t>The backend captures the bounce framework error and updates delivery statuses to 'Failed' with log metrics.</t>
        </is>
      </c>
      <c r="H17" s="23" t="inlineStr"/>
      <c r="I17" s="23" t="inlineStr">
        <is>
          <t>Not Run</t>
        </is>
      </c>
      <c r="J17" s="23" t="inlineStr">
        <is>
          <t>High</t>
        </is>
      </c>
      <c r="K17" s="23" t="inlineStr">
        <is>
          <t>Functional</t>
        </is>
      </c>
      <c r="L17" s="23" t="inlineStr">
        <is>
          <t>QA Team</t>
        </is>
      </c>
      <c r="M17" s="23" t="inlineStr"/>
      <c r="N17" s="23" t="inlineStr"/>
    </row>
    <row r="18" ht="46" customHeight="1">
      <c r="A18" s="24" t="inlineStr">
        <is>
          <t>SEN-014</t>
        </is>
      </c>
      <c r="B18" s="24" t="inlineStr">
        <is>
          <t>Send Email</t>
        </is>
      </c>
      <c r="C18" s="24" t="inlineStr">
        <is>
          <t>Validate unicode emojis string mapping conversions</t>
        </is>
      </c>
      <c r="D18" s="24" t="inlineStr">
        <is>
          <t>Active modern browser instance.</t>
        </is>
      </c>
      <c r="E18" s="24" t="inlineStr">
        <is>
          <t>1. Paste emoji graphics inside Subject line text field.</t>
        </is>
      </c>
      <c r="F18" s="24" t="inlineStr">
        <is>
          <t>Subject: 'Important Updates!</t>
        </is>
      </c>
      <c r="G18" s="24" t="inlineStr">
        <is>
          <t>Recipient receives the incoming email structure with exact emojis rendering perfectly in their inbox header.</t>
        </is>
      </c>
      <c r="H18" s="24" t="inlineStr"/>
      <c r="I18" s="24" t="inlineStr">
        <is>
          <t>Not Run</t>
        </is>
      </c>
      <c r="J18" s="24" t="inlineStr">
        <is>
          <t>Low</t>
        </is>
      </c>
      <c r="K18" s="24" t="inlineStr">
        <is>
          <t>Functional</t>
        </is>
      </c>
      <c r="L18" s="24" t="inlineStr">
        <is>
          <t>QA Team</t>
        </is>
      </c>
      <c r="M18" s="24" t="inlineStr"/>
      <c r="N18" s="24" t="inlineStr"/>
    </row>
    <row r="19" ht="46" customHeight="1">
      <c r="A19" s="23" t="inlineStr">
        <is>
          <t>SEN-015</t>
        </is>
      </c>
      <c r="B19" s="23" t="inlineStr">
        <is>
          <t>Send Email</t>
        </is>
      </c>
      <c r="C19" s="23" t="inlineStr">
        <is>
          <t>Verify size validation boundary for exact payload limits</t>
        </is>
      </c>
      <c r="D19" s="23" t="inlineStr">
        <is>
          <t>A test dummy file is constructed precisely at the size limit.</t>
        </is>
      </c>
      <c r="E19" s="23" t="inlineStr">
        <is>
          <t>1. Attach file to email form asset tracker.
2. Try sending.</t>
        </is>
      </c>
      <c r="F19" s="23" t="inlineStr">
        <is>
          <t>File size: 15.00 MB exactly</t>
        </is>
      </c>
      <c r="G19" s="23" t="inlineStr">
        <is>
          <t>System accepts the asset boundary constraint cleanly without failure since it doesn't cross the ceiling parameters.</t>
        </is>
      </c>
      <c r="H19" s="23" t="inlineStr"/>
      <c r="I19" s="23" t="inlineStr">
        <is>
          <t>Not Run</t>
        </is>
      </c>
      <c r="J19" s="23" t="inlineStr">
        <is>
          <t>High</t>
        </is>
      </c>
      <c r="K19" s="23" t="inlineStr">
        <is>
          <t>Functional</t>
        </is>
      </c>
      <c r="L19" s="23" t="inlineStr">
        <is>
          <t>QA Team</t>
        </is>
      </c>
      <c r="M19" s="23" t="inlineStr"/>
      <c r="N19" s="23" t="inlineStr"/>
    </row>
    <row r="20" ht="46" customHeight="1">
      <c r="A20" s="24" t="inlineStr">
        <is>
          <t>SEN-016</t>
        </is>
      </c>
      <c r="B20" s="24" t="inlineStr">
        <is>
          <t>Send Email</t>
        </is>
      </c>
      <c r="C20" s="24" t="inlineStr">
        <is>
          <t>Route smoke test</t>
        </is>
      </c>
      <c r="D20" s="24" t="inlineStr">
        <is>
          <t>Development server running</t>
        </is>
      </c>
      <c r="E20" s="24" t="inlineStr">
        <is>
          <t>Open the implemented route on localhost:4200</t>
        </is>
      </c>
      <c r="F20" s="24" t="inlineStr">
        <is>
          <t>See steps</t>
        </is>
      </c>
      <c r="G20" s="24" t="inlineStr">
        <is>
          <t>The Angular route resolves without a 404.</t>
        </is>
      </c>
      <c r="H20" s="24" t="inlineStr">
        <is>
          <t>Not executed: requires isolated test data, credentials, or controlled API failure.</t>
        </is>
      </c>
      <c r="I20" s="24" t="inlineStr">
        <is>
          <t>Not Run</t>
        </is>
      </c>
      <c r="J20" s="24" t="inlineStr">
        <is>
          <t>Medium</t>
        </is>
      </c>
      <c r="K20" s="24" t="inlineStr">
        <is>
          <t>Functional</t>
        </is>
      </c>
      <c r="L20" s="24" t="inlineStr">
        <is>
          <t>Codex QA</t>
        </is>
      </c>
      <c r="M20" s="24" t="inlineStr">
        <is>
          <t>2026-07-20</t>
        </is>
      </c>
      <c r="N20" s="24" t="inlineStr">
        <is>
          <t>Designed from the implemented UI and service contract.</t>
        </is>
      </c>
    </row>
    <row r="21" ht="46" customHeight="1">
      <c r="A21" s="23" t="inlineStr">
        <is>
          <t>SEN-017</t>
        </is>
      </c>
      <c r="B21" s="23" t="inlineStr">
        <is>
          <t>Send Email</t>
        </is>
      </c>
      <c r="C21" s="23" t="inlineStr">
        <is>
          <t>Read-only API availability</t>
        </is>
      </c>
      <c r="D21" s="23" t="inlineStr">
        <is>
          <t>Local API at localhost:8080</t>
        </is>
      </c>
      <c r="E21" s="23" t="inlineStr">
        <is>
          <t>Load page with the local API running</t>
        </is>
      </c>
      <c r="F21" s="23" t="inlineStr">
        <is>
          <t>See steps</t>
        </is>
      </c>
      <c r="G21" s="23" t="inlineStr">
        <is>
          <t>Read-only data requests complete or a user-visible error is shown.</t>
        </is>
      </c>
      <c r="H21" s="23" t="inlineStr">
        <is>
          <t>Not executed: requires isolated test data, credentials, or controlled API failure.</t>
        </is>
      </c>
      <c r="I21" s="23" t="inlineStr">
        <is>
          <t>Not Run</t>
        </is>
      </c>
      <c r="J21" s="23" t="inlineStr">
        <is>
          <t>Medium</t>
        </is>
      </c>
      <c r="K21" s="23" t="inlineStr">
        <is>
          <t>Functional</t>
        </is>
      </c>
      <c r="L21" s="23" t="inlineStr">
        <is>
          <t>Codex QA</t>
        </is>
      </c>
      <c r="M21" s="23" t="inlineStr">
        <is>
          <t>2026-07-20</t>
        </is>
      </c>
      <c r="N21" s="23" t="inlineStr">
        <is>
          <t>Designed from the implemented UI and service contract.</t>
        </is>
      </c>
    </row>
    <row r="22" ht="46" customHeight="1">
      <c r="A22" s="24" t="inlineStr">
        <is>
          <t>SEN-018</t>
        </is>
      </c>
      <c r="B22" s="24" t="inlineStr">
        <is>
          <t>Send Email</t>
        </is>
      </c>
      <c r="C22" s="24" t="inlineStr">
        <is>
          <t>Data-changing regression</t>
        </is>
      </c>
      <c r="D22" s="24" t="inlineStr">
        <is>
          <t>Dedicated test database and account</t>
        </is>
      </c>
      <c r="E22" s="24" t="inlineStr">
        <is>
          <t>Create, edit, or delete a record using an isolated test account</t>
        </is>
      </c>
      <c r="F22" s="24" t="inlineStr">
        <is>
          <t>See steps</t>
        </is>
      </c>
      <c r="G22" s="24" t="inlineStr">
        <is>
          <t>Only the test record is changed and can be cleaned up.</t>
        </is>
      </c>
      <c r="H22" s="24" t="inlineStr">
        <is>
          <t>Not executed: requires isolated test data, credentials, or controlled API failure.</t>
        </is>
      </c>
      <c r="I22" s="24" t="inlineStr">
        <is>
          <t>Not Run</t>
        </is>
      </c>
      <c r="J22" s="24" t="inlineStr">
        <is>
          <t>Medium</t>
        </is>
      </c>
      <c r="K22" s="24" t="inlineStr">
        <is>
          <t>Functional</t>
        </is>
      </c>
      <c r="L22" s="24" t="inlineStr">
        <is>
          <t>Codex QA</t>
        </is>
      </c>
      <c r="M22" s="24" t="inlineStr">
        <is>
          <t>2026-07-20</t>
        </is>
      </c>
      <c r="N22" s="24" t="inlineStr">
        <is>
          <t>Designed from the implemented UI and service contract.</t>
        </is>
      </c>
    </row>
  </sheetData>
  <autoFilter ref="A4:N22"/>
  <mergeCells count="2">
    <mergeCell ref="A2:N2"/>
    <mergeCell ref="A1:N1"/>
  </mergeCells>
  <conditionalFormatting sqref="I5:I22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"Not Run"</formula>
    </cfRule>
    <cfRule type="cellIs" priority="4" operator="equal" dxfId="3">
      <formula>"Blocked"</formula>
    </cfRule>
  </conditionalFormatting>
  <dataValidations count="1">
    <dataValidation sqref="I5:I22" showDropDown="0" showInputMessage="0" showErrorMessage="0" allowBlank="0" type="list">
      <formula1>"Passed,Failed,Blocked,Not Run"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28" customWidth="1" min="4" max="4"/>
    <col width="40" customWidth="1" min="5" max="5"/>
    <col width="22" customWidth="1" min="6" max="6"/>
    <col width="38" customWidth="1" min="7" max="7"/>
    <col width="38" customWidth="1" min="8" max="8"/>
    <col width="14" customWidth="1" min="9" max="9"/>
    <col width="12" customWidth="1" min="10" max="10"/>
    <col width="15" customWidth="1" min="11" max="11"/>
    <col width="16" customWidth="1" min="12" max="12"/>
    <col width="16" customWidth="1" min="13" max="13"/>
    <col width="30" customWidth="1" min="14" max="14"/>
  </cols>
  <sheetData>
    <row r="1" ht="38" customHeight="1">
      <c r="A1" s="1" t="inlineStr">
        <is>
          <t>Training Programs</t>
        </is>
      </c>
    </row>
    <row r="2" ht="24" customHeight="1">
      <c r="A2" s="2" t="inlineStr">
        <is>
          <t>NTG Admin Module • QA test cases • Last updated: 2026-07-20</t>
        </is>
      </c>
    </row>
    <row r="4" ht="30" customHeight="1">
      <c r="A4" s="22" t="inlineStr">
        <is>
          <t>Test ID</t>
        </is>
      </c>
      <c r="B4" s="22" t="inlineStr">
        <is>
          <t>Feature</t>
        </is>
      </c>
      <c r="C4" s="22" t="inlineStr">
        <is>
          <t>Test Scenario</t>
        </is>
      </c>
      <c r="D4" s="22" t="inlineStr">
        <is>
          <t>Preconditions</t>
        </is>
      </c>
      <c r="E4" s="22" t="inlineStr">
        <is>
          <t>Test Steps</t>
        </is>
      </c>
      <c r="F4" s="22" t="inlineStr">
        <is>
          <t>Test Data</t>
        </is>
      </c>
      <c r="G4" s="22" t="inlineStr">
        <is>
          <t>Expected Result</t>
        </is>
      </c>
      <c r="H4" s="22" t="inlineStr">
        <is>
          <t>Actual Result</t>
        </is>
      </c>
      <c r="I4" s="22" t="inlineStr">
        <is>
          <t>Status</t>
        </is>
      </c>
      <c r="J4" s="22" t="inlineStr">
        <is>
          <t>Priority</t>
        </is>
      </c>
      <c r="K4" s="22" t="inlineStr">
        <is>
          <t>Test Type</t>
        </is>
      </c>
      <c r="L4" s="22" t="inlineStr">
        <is>
          <t>Tester</t>
        </is>
      </c>
      <c r="M4" s="22" t="inlineStr">
        <is>
          <t>Execution Date</t>
        </is>
      </c>
      <c r="N4" s="22" t="inlineStr">
        <is>
          <t>Notes</t>
        </is>
      </c>
    </row>
    <row r="5" ht="46" customHeight="1">
      <c r="A5" s="23" t="inlineStr">
        <is>
          <t>TRA-001</t>
        </is>
      </c>
      <c r="B5" s="23" t="inlineStr">
        <is>
          <t>Training Programs</t>
        </is>
      </c>
      <c r="C5" s="23" t="inlineStr">
        <is>
          <t>Training Programs</t>
        </is>
      </c>
      <c r="D5" s="23" t="inlineStr">
        <is>
          <t>At least one training program exists</t>
        </is>
      </c>
      <c r="E5" s="23" t="inlineStr">
        <is>
          <t>1. Navigate to /trainingProgramsList</t>
        </is>
      </c>
      <c r="F5" s="23" t="inlineStr">
        <is>
          <t>N/A</t>
        </is>
      </c>
      <c r="G5" s="23" t="inlineStr">
        <is>
          <t>GET /api/training-programs returns TrainingProgramsList[]; count card matches GET /api/training-programs/count</t>
        </is>
      </c>
      <c r="H5" s="23" t="inlineStr">
        <is>
          <t>returns TrainingProgramsList[]; count card matches GET /api/training-programs/count</t>
        </is>
      </c>
      <c r="I5" s="23" t="inlineStr">
        <is>
          <t>Not Run</t>
        </is>
      </c>
      <c r="J5" s="23" t="inlineStr">
        <is>
          <t>High</t>
        </is>
      </c>
      <c r="K5" s="23" t="inlineStr">
        <is>
          <t>Functional</t>
        </is>
      </c>
      <c r="L5" s="23" t="inlineStr">
        <is>
          <t>QA Team</t>
        </is>
      </c>
      <c r="M5" s="23" t="inlineStr"/>
      <c r="N5" s="23" t="inlineStr"/>
    </row>
    <row r="6" ht="46" customHeight="1">
      <c r="A6" s="24" t="inlineStr">
        <is>
          <t>TRA-002</t>
        </is>
      </c>
      <c r="B6" s="24" t="inlineStr">
        <is>
          <t>Training Programs</t>
        </is>
      </c>
      <c r="C6" s="24" t="inlineStr">
        <is>
          <t>Training Programs</t>
        </is>
      </c>
      <c r="D6" s="24" t="inlineStr">
        <is>
          <t>On /createProgram; at least one engineer exists in dropdown</t>
        </is>
      </c>
      <c r="E6" s="24" t="inlineStr">
        <is>
          <t>1. Fill title, description, select engineer, location, startDate, endDate
2. Submit</t>
        </is>
      </c>
      <c r="F6" s="24" t="inlineStr">
        <is>
          <t>programName, teacherId=userId=&lt;engineerId&gt;</t>
        </is>
      </c>
      <c r="G6" s="24" t="inlineStr">
        <is>
          <t>POST /api/training-programs creates TrainingProgram; 201; alert 'Training Program Created Successfully'; form resets</t>
        </is>
      </c>
      <c r="H6" s="24" t="inlineStr">
        <is>
          <t>'Training Program Created Successfully';</t>
        </is>
      </c>
      <c r="I6" s="24" t="inlineStr">
        <is>
          <t>Not Run</t>
        </is>
      </c>
      <c r="J6" s="24" t="inlineStr">
        <is>
          <t>High</t>
        </is>
      </c>
      <c r="K6" s="24" t="inlineStr">
        <is>
          <t>Functional</t>
        </is>
      </c>
      <c r="L6" s="24" t="inlineStr">
        <is>
          <t>QA Team</t>
        </is>
      </c>
      <c r="M6" s="24" t="inlineStr"/>
      <c r="N6" s="24" t="inlineStr"/>
    </row>
    <row r="7" ht="46" customHeight="1">
      <c r="A7" s="23" t="inlineStr">
        <is>
          <t>TRA-003</t>
        </is>
      </c>
      <c r="B7" s="23" t="inlineStr">
        <is>
          <t>Training Programs</t>
        </is>
      </c>
      <c r="C7" s="23" t="inlineStr">
        <is>
          <t>Training Programs</t>
        </is>
      </c>
      <c r="D7" s="23" t="inlineStr">
        <is>
          <t>On /createProgram</t>
        </is>
      </c>
      <c r="E7" s="23" t="inlineStr">
        <is>
          <t>1. Leave 'title' or 'engineerId' empty
2. Submit</t>
        </is>
      </c>
      <c r="F7" s="23" t="inlineStr">
        <is>
          <t>title=''</t>
        </is>
      </c>
      <c r="G7" s="23" t="inlineStr">
        <is>
          <t>Reactive form validators block submit; trainingForm.markAllAsTouched() triggers field error styles; no API call</t>
        </is>
      </c>
      <c r="H7" s="23" t="inlineStr">
        <is>
          <t>trainingForm.markAllAsTouched() triggers field error styles; no API call</t>
        </is>
      </c>
      <c r="I7" s="23" t="inlineStr">
        <is>
          <t>Not Run</t>
        </is>
      </c>
      <c r="J7" s="23" t="inlineStr">
        <is>
          <t>Medium</t>
        </is>
      </c>
      <c r="K7" s="23" t="inlineStr">
        <is>
          <t>Functional</t>
        </is>
      </c>
      <c r="L7" s="23" t="inlineStr">
        <is>
          <t>QA Team</t>
        </is>
      </c>
      <c r="M7" s="23" t="inlineStr"/>
      <c r="N7" s="23" t="inlineStr"/>
    </row>
    <row r="8" ht="46" customHeight="1">
      <c r="A8" s="24" t="inlineStr">
        <is>
          <t>TRA-004</t>
        </is>
      </c>
      <c r="B8" s="24" t="inlineStr">
        <is>
          <t>Training Programs</t>
        </is>
      </c>
      <c r="C8" s="24" t="inlineStr">
        <is>
          <t>Training Programs</t>
        </is>
      </c>
      <c r="D8" s="24" t="inlineStr">
        <is>
          <t>Backend expects teacherId and userId separately but frontend sends same engineerId for both</t>
        </is>
      </c>
      <c r="E8" s="24" t="inlineStr">
        <is>
          <t>1. Submit create-program form (both teacherId and userId = engineerId)</t>
        </is>
      </c>
      <c r="F8" s="24" t="inlineStr">
        <is>
          <t>teacherId=userId=5</t>
        </is>
      </c>
      <c r="G8" s="24" t="inlineStr">
        <is>
          <t>Verify TrainingProgramService correctly resolves Teacher by id 5 AND User by id 5 — confirm these IDs actually correspond to the same person in this schema (Teacher.id != User.id necessarily); flag as defect if mismatched</t>
        </is>
      </c>
      <c r="H8" s="24" t="inlineStr"/>
      <c r="I8" s="24" t="inlineStr">
        <is>
          <t>Not Run</t>
        </is>
      </c>
      <c r="J8" s="24" t="inlineStr">
        <is>
          <t>High</t>
        </is>
      </c>
      <c r="K8" s="24" t="inlineStr">
        <is>
          <t>Functional</t>
        </is>
      </c>
      <c r="L8" s="24" t="inlineStr">
        <is>
          <t>QA Team</t>
        </is>
      </c>
      <c r="M8" s="24" t="inlineStr"/>
      <c r="N8" s="24" t="inlineStr"/>
    </row>
    <row r="9" ht="46" customHeight="1">
      <c r="A9" s="23" t="inlineStr">
        <is>
          <t>TRA-005</t>
        </is>
      </c>
      <c r="B9" s="23" t="inlineStr">
        <is>
          <t>Training Programs</t>
        </is>
      </c>
      <c r="C9" s="23" t="inlineStr">
        <is>
          <t>Training Programs</t>
        </is>
      </c>
      <c r="D9" s="23" t="inlineStr">
        <is>
          <t>Valid program id</t>
        </is>
      </c>
      <c r="E9" s="23" t="inlineStr">
        <is>
          <t>1. Navigate to /programs/:id</t>
        </is>
      </c>
      <c r="F9" s="23" t="inlineStr">
        <is>
          <t>N/A</t>
        </is>
      </c>
      <c r="G9" s="23" t="inlineStr">
        <is>
          <t>GET /api/training-programs/{id} loads programName, description, teacher name, dates, location, totalStudents; doughnut chart renders with correct in-program vs other-students split</t>
        </is>
      </c>
      <c r="H9" s="23" t="inlineStr">
        <is>
          <t>loads programName, description, teacher name, dates, location, totalStudents; doughnut chart renders with correct in-program vs other-students split</t>
        </is>
      </c>
      <c r="I9" s="23" t="inlineStr">
        <is>
          <t>Not Run</t>
        </is>
      </c>
      <c r="J9" s="23" t="inlineStr">
        <is>
          <t>High</t>
        </is>
      </c>
      <c r="K9" s="23" t="inlineStr">
        <is>
          <t>Functional</t>
        </is>
      </c>
      <c r="L9" s="23" t="inlineStr">
        <is>
          <t>QA Team</t>
        </is>
      </c>
      <c r="M9" s="23" t="inlineStr"/>
      <c r="N9" s="23" t="inlineStr"/>
    </row>
    <row r="10" ht="46" customHeight="1">
      <c r="A10" s="24" t="inlineStr">
        <is>
          <t>TRA-006</t>
        </is>
      </c>
      <c r="B10" s="24" t="inlineStr">
        <is>
          <t>Training Programs</t>
        </is>
      </c>
      <c r="C10" s="24" t="inlineStr">
        <is>
          <t>Training Programs</t>
        </is>
      </c>
      <c r="D10" s="24" t="inlineStr">
        <is>
          <t>None</t>
        </is>
      </c>
      <c r="E10" s="24" t="inlineStr">
        <is>
          <t>1. Navigate to /programs/999999</t>
        </is>
      </c>
      <c r="F10" s="24" t="inlineStr">
        <is>
          <t>N/A</t>
        </is>
      </c>
      <c r="G10" s="24" t="inlineStr">
        <is>
          <t>Backend throws 'program not found'; frontend does not crash, ideally shows friendly message</t>
        </is>
      </c>
      <c r="H10" s="24" t="inlineStr">
        <is>
          <t>'program not found';</t>
        </is>
      </c>
      <c r="I10" s="24" t="inlineStr">
        <is>
          <t>Not Run</t>
        </is>
      </c>
      <c r="J10" s="24" t="inlineStr">
        <is>
          <t>Medium</t>
        </is>
      </c>
      <c r="K10" s="24" t="inlineStr">
        <is>
          <t>Functional</t>
        </is>
      </c>
      <c r="L10" s="24" t="inlineStr">
        <is>
          <t>QA Team</t>
        </is>
      </c>
      <c r="M10" s="24" t="inlineStr"/>
      <c r="N10" s="24" t="inlineStr"/>
    </row>
    <row r="11" ht="46" customHeight="1">
      <c r="A11" s="23" t="inlineStr">
        <is>
          <t>TRA-007</t>
        </is>
      </c>
      <c r="B11" s="23" t="inlineStr">
        <is>
          <t>Training Programs</t>
        </is>
      </c>
      <c r="C11" s="23" t="inlineStr">
        <is>
          <t>Training Programs</t>
        </is>
      </c>
      <c r="D11" s="23" t="inlineStr">
        <is>
          <t>Data inconsistency scenario</t>
        </is>
      </c>
      <c r="E11" s="23" t="inlineStr">
        <is>
          <t>1. Load program overview where inProgram &gt; studentCount</t>
        </is>
      </c>
      <c r="F11" s="23" t="inlineStr">
        <is>
          <t>N/A</t>
        </is>
      </c>
      <c r="G11" s="23" t="inlineStr">
        <is>
          <t>createChart() correctly guards this case ('Invalid chart data' logged); chart should not render negative segment</t>
        </is>
      </c>
      <c r="H11" s="23" t="inlineStr">
        <is>
          <t>('Invalid chart data' logged);</t>
        </is>
      </c>
      <c r="I11" s="23" t="inlineStr">
        <is>
          <t>Not Run</t>
        </is>
      </c>
      <c r="J11" s="23" t="inlineStr">
        <is>
          <t>Low</t>
        </is>
      </c>
      <c r="K11" s="23" t="inlineStr">
        <is>
          <t>Functional</t>
        </is>
      </c>
      <c r="L11" s="23" t="inlineStr">
        <is>
          <t>QA Team</t>
        </is>
      </c>
      <c r="M11" s="23" t="inlineStr"/>
      <c r="N11" s="23" t="inlineStr"/>
    </row>
    <row r="12" ht="46" customHeight="1">
      <c r="A12" s="24" t="inlineStr">
        <is>
          <t>TRA-008</t>
        </is>
      </c>
      <c r="B12" s="24" t="inlineStr">
        <is>
          <t>Training Programs</t>
        </is>
      </c>
      <c r="C12" s="24" t="inlineStr">
        <is>
          <t>Training Programs</t>
        </is>
      </c>
      <c r="D12" s="24" t="inlineStr">
        <is>
          <t>Navigate to /programs/:id/students</t>
        </is>
      </c>
      <c r="E12" s="24" t="inlineStr">
        <is>
          <t>1. Click 'Students' tab from program overview</t>
        </is>
      </c>
      <c r="F12" s="24" t="inlineStr">
        <is>
          <t>N/A</t>
        </is>
      </c>
      <c r="G12" s="24" t="inlineStr">
        <is>
          <t>Table renders; NOTE: table cells for student name/grade/attendance/status currently appear empty in template — verify data binding is implemented, not just placeholder &lt;td&gt;&lt;/td&gt;</t>
        </is>
      </c>
      <c r="H12" s="24" t="inlineStr">
        <is>
          <t>Table renders; NOTE: table cells for student name/grade/attendance/status currently appear empty in template — verify data binding is implemented, not just placeholder &lt;td&gt;&lt;/td&gt;</t>
        </is>
      </c>
      <c r="I12" s="24" t="inlineStr">
        <is>
          <t>Not Run</t>
        </is>
      </c>
      <c r="J12" s="24" t="inlineStr">
        <is>
          <t>High</t>
        </is>
      </c>
      <c r="K12" s="24" t="inlineStr">
        <is>
          <t>Functional</t>
        </is>
      </c>
      <c r="L12" s="24" t="inlineStr">
        <is>
          <t>QA Team</t>
        </is>
      </c>
      <c r="M12" s="24" t="inlineStr"/>
      <c r="N12" s="24" t="inlineStr"/>
    </row>
    <row r="13" ht="46" customHeight="1">
      <c r="A13" s="23" t="inlineStr">
        <is>
          <t>TRA-009</t>
        </is>
      </c>
      <c r="B13" s="23" t="inlineStr">
        <is>
          <t>Training Programs</t>
        </is>
      </c>
      <c r="C13" s="23" t="inlineStr">
        <is>
          <t>Training Programs</t>
        </is>
      </c>
      <c r="D13" s="23" t="inlineStr">
        <is>
          <t>Navigate to /programs/:id/engineers</t>
        </is>
      </c>
      <c r="E13" s="23" t="inlineStr">
        <is>
          <t>1. Click 'Engineers' tab from program overview</t>
        </is>
      </c>
      <c r="F13" s="23" t="inlineStr">
        <is>
          <t>N/A</t>
        </is>
      </c>
      <c r="G13" s="23" t="inlineStr">
        <is>
          <t>Assigned engineer's name, experience, and rating render correctly from getEngineer(data.teacherId) and getEngineerCards(data.teacherId)</t>
        </is>
      </c>
      <c r="H13" s="23" t="inlineStr">
        <is>
          <t>Assigned engineer's name, experience, and rating render correctly</t>
        </is>
      </c>
      <c r="I13" s="23" t="inlineStr">
        <is>
          <t>Not Run</t>
        </is>
      </c>
      <c r="J13" s="23" t="inlineStr">
        <is>
          <t>Medium</t>
        </is>
      </c>
      <c r="K13" s="23" t="inlineStr">
        <is>
          <t>Functional</t>
        </is>
      </c>
      <c r="L13" s="23" t="inlineStr">
        <is>
          <t>QA Team</t>
        </is>
      </c>
      <c r="M13" s="23" t="inlineStr"/>
      <c r="N13" s="23" t="inlineStr"/>
    </row>
    <row r="14" ht="46" customHeight="1">
      <c r="A14" s="24" t="inlineStr">
        <is>
          <t>TRA-010</t>
        </is>
      </c>
      <c r="B14" s="24" t="inlineStr">
        <is>
          <t>Training Programs</t>
        </is>
      </c>
      <c r="C14" s="24" t="inlineStr">
        <is>
          <t>Training Programs</t>
        </is>
      </c>
      <c r="D14" s="24" t="inlineStr">
        <is>
          <t>Program list loaded</t>
        </is>
      </c>
      <c r="E14" s="24" t="inlineStr">
        <is>
          <t>1. Click delete icon on a program row
2. Confirm dialog</t>
        </is>
      </c>
      <c r="F14" s="24" t="inlineStr">
        <is>
          <t>N/A</t>
        </is>
      </c>
      <c r="G14" s="24" t="inlineStr">
        <is>
          <t>DELETE /api/training-programs/{id} returns 204; alert 'Program deleted successfully'; NOTE: verify UI list actually refreshes/removes the row after deletion (getAllPrograms() is not called after delete in current code — flag as defect)</t>
        </is>
      </c>
      <c r="H14" s="24" t="inlineStr">
        <is>
          <t>Program deleted successfully';</t>
        </is>
      </c>
      <c r="I14" s="24" t="inlineStr">
        <is>
          <t>Not Run</t>
        </is>
      </c>
      <c r="J14" s="24" t="inlineStr">
        <is>
          <t>High</t>
        </is>
      </c>
      <c r="K14" s="24" t="inlineStr">
        <is>
          <t>Functional</t>
        </is>
      </c>
      <c r="L14" s="24" t="inlineStr">
        <is>
          <t>QA Team</t>
        </is>
      </c>
      <c r="M14" s="24" t="inlineStr"/>
      <c r="N14" s="24" t="inlineStr"/>
    </row>
    <row r="15" ht="46" customHeight="1">
      <c r="A15" s="23" t="inlineStr">
        <is>
          <t>TRA-011</t>
        </is>
      </c>
      <c r="B15" s="23" t="inlineStr">
        <is>
          <t>Training Programs</t>
        </is>
      </c>
      <c r="C15" s="23" t="inlineStr">
        <is>
          <t>Training Programs</t>
        </is>
      </c>
      <c r="D15" s="23" t="inlineStr">
        <is>
          <t>Program list loaded</t>
        </is>
      </c>
      <c r="E15" s="23" t="inlineStr">
        <is>
          <t>1. Click delete icon
2. Click Cancel on confirm()</t>
        </is>
      </c>
      <c r="F15" s="23" t="inlineStr">
        <is>
          <t>N/A</t>
        </is>
      </c>
      <c r="G15" s="23" t="inlineStr">
        <is>
          <t>No API call made; program remains</t>
        </is>
      </c>
      <c r="H15" s="23" t="inlineStr">
        <is>
          <t>No API call made; program remains</t>
        </is>
      </c>
      <c r="I15" s="23" t="inlineStr">
        <is>
          <t>Not Run</t>
        </is>
      </c>
      <c r="J15" s="23" t="inlineStr">
        <is>
          <t>Low</t>
        </is>
      </c>
      <c r="K15" s="23" t="inlineStr">
        <is>
          <t>Functional</t>
        </is>
      </c>
      <c r="L15" s="23" t="inlineStr">
        <is>
          <t>QA Team</t>
        </is>
      </c>
      <c r="M15" s="23" t="inlineStr"/>
      <c r="N15" s="23" t="inlineStr"/>
    </row>
    <row r="16" ht="46" customHeight="1">
      <c r="A16" s="24" t="inlineStr">
        <is>
          <t>TRA-012</t>
        </is>
      </c>
      <c r="B16" s="24" t="inlineStr">
        <is>
          <t>Training Programs</t>
        </is>
      </c>
      <c r="C16" s="24" t="inlineStr">
        <is>
          <t>Training Programs</t>
        </is>
      </c>
      <c r="D16" s="24" t="inlineStr">
        <is>
          <t>teacherId belongs to Engineer A; userId belongs to unrelated User B</t>
        </is>
      </c>
      <c r="E16" s="24" t="inlineStr">
        <is>
          <t>1. POST with mismatched teacherId/userId pair</t>
        </is>
      </c>
      <c r="F16" s="24" t="inlineStr">
        <is>
          <t>n/a</t>
        </is>
      </c>
      <c r="G16" s="24" t="inlineStr">
        <is>
          <t>EXPECTED: rejected as inconsistent</t>
        </is>
      </c>
      <c r="H16" s="24" t="inlineStr">
        <is>
          <t>(see BUG-13): no cross-check exists between teacherId and userId, allowing a program to be linked to two unrelated people</t>
        </is>
      </c>
      <c r="I16" s="24" t="inlineStr">
        <is>
          <t>Not Run</t>
        </is>
      </c>
      <c r="J16" s="24" t="inlineStr">
        <is>
          <t>Medium</t>
        </is>
      </c>
      <c r="K16" s="24" t="inlineStr">
        <is>
          <t>Functional</t>
        </is>
      </c>
      <c r="L16" s="24" t="inlineStr">
        <is>
          <t>QA Team</t>
        </is>
      </c>
      <c r="M16" s="24" t="inlineStr"/>
      <c r="N16" s="24" t="inlineStr"/>
    </row>
    <row r="17" ht="46" customHeight="1">
      <c r="A17" s="23" t="inlineStr">
        <is>
          <t>TRA-013</t>
        </is>
      </c>
      <c r="B17" s="23" t="inlineStr">
        <is>
          <t>Training Programs</t>
        </is>
      </c>
      <c r="C17" s="23" t="inlineStr">
        <is>
          <t>Training Programs</t>
        </is>
      </c>
      <c r="D17" s="23" t="inlineStr">
        <is>
          <t>Program's teacher has students assigned</t>
        </is>
      </c>
      <c r="E17" s="23" t="inlineStr">
        <is>
          <t>1. GET /api/training-programs/1
2. Compare totalStudents to actual enrolled count</t>
        </is>
      </c>
      <c r="F17" s="23" t="inlineStr">
        <is>
          <t>n/a</t>
        </is>
      </c>
      <c r="G17" s="23" t="inlineStr">
        <is>
          <t>totalStudents matches countStudentsByTeacherId result accurately</t>
        </is>
      </c>
      <c r="H17" s="23" t="inlineStr"/>
      <c r="I17" s="23" t="inlineStr">
        <is>
          <t>Not Run</t>
        </is>
      </c>
      <c r="J17" s="23" t="inlineStr">
        <is>
          <t>meduim</t>
        </is>
      </c>
      <c r="K17" s="23" t="inlineStr">
        <is>
          <t>Functional</t>
        </is>
      </c>
      <c r="L17" s="23" t="inlineStr">
        <is>
          <t>QA Team</t>
        </is>
      </c>
      <c r="M17" s="23" t="inlineStr"/>
      <c r="N17" s="23" t="inlineStr"/>
    </row>
    <row r="18" ht="46" customHeight="1">
      <c r="A18" s="24" t="inlineStr">
        <is>
          <t>TRA-014</t>
        </is>
      </c>
      <c r="B18" s="24" t="inlineStr">
        <is>
          <t>Training Programs</t>
        </is>
      </c>
      <c r="C18" s="24" t="inlineStr">
        <is>
          <t>Training Programs</t>
        </is>
      </c>
      <c r="D18" s="24" t="inlineStr">
        <is>
          <t>Valid program id</t>
        </is>
      </c>
      <c r="E18" s="24" t="inlineStr">
        <is>
          <t>1. PUT /api/training-programs/{id} with new programName/description/dates/location</t>
        </is>
      </c>
      <c r="F18" s="24" t="inlineStr">
        <is>
          <t>N/A</t>
        </is>
      </c>
      <c r="G18" s="24" t="inlineStr">
        <is>
          <t>TrainingProgramResponseDTO returned with updated fields; NOTE: no 'Edit Program' UI form currently wired to this endpoint — verify or flag as missing feature</t>
        </is>
      </c>
      <c r="H18" s="24" t="inlineStr">
        <is>
          <t>updated not succseffuly</t>
        </is>
      </c>
      <c r="I18" s="24" t="inlineStr">
        <is>
          <t>Not Run</t>
        </is>
      </c>
      <c r="J18" s="24" t="inlineStr">
        <is>
          <t>Medium</t>
        </is>
      </c>
      <c r="K18" s="24" t="inlineStr">
        <is>
          <t>Functional</t>
        </is>
      </c>
      <c r="L18" s="24" t="inlineStr">
        <is>
          <t>QA Team</t>
        </is>
      </c>
      <c r="M18" s="24" t="inlineStr"/>
      <c r="N18" s="24" t="inlineStr"/>
    </row>
    <row r="19" ht="46" customHeight="1">
      <c r="A19" s="23" t="inlineStr">
        <is>
          <t>TRA-015</t>
        </is>
      </c>
      <c r="B19" s="23" t="inlineStr">
        <is>
          <t>Training Programs List</t>
        </is>
      </c>
      <c r="C19" s="23" t="inlineStr">
        <is>
          <t>Verify status counter badges metric accuracy</t>
        </is>
      </c>
      <c r="D19" s="23" t="inlineStr">
        <is>
          <t>Database holds distinct variable status combinations.</t>
        </is>
      </c>
      <c r="E19" s="23" t="inlineStr">
        <is>
          <t>1. Compare metrics visible inside status summary boxes with rows calculation datasets.</t>
        </is>
      </c>
      <c r="F19" s="23" t="inlineStr">
        <is>
          <t>N/A</t>
        </is>
      </c>
      <c r="G19" s="23" t="inlineStr">
        <is>
          <t>Numbers correlate flawlessly with matching active record distributions in the database tracking schema.</t>
        </is>
      </c>
      <c r="H19" s="23" t="inlineStr"/>
      <c r="I19" s="23" t="inlineStr">
        <is>
          <t>Not Run</t>
        </is>
      </c>
      <c r="J19" s="23" t="inlineStr">
        <is>
          <t>Medium</t>
        </is>
      </c>
      <c r="K19" s="23" t="inlineStr">
        <is>
          <t>Functional</t>
        </is>
      </c>
      <c r="L19" s="23" t="inlineStr">
        <is>
          <t>QA Team</t>
        </is>
      </c>
      <c r="M19" s="23" t="inlineStr"/>
      <c r="N19" s="23" t="inlineStr"/>
    </row>
    <row r="20" ht="46" customHeight="1">
      <c r="A20" s="24" t="inlineStr">
        <is>
          <t>TRA-016</t>
        </is>
      </c>
      <c r="B20" s="24" t="inlineStr">
        <is>
          <t>Training Programs List</t>
        </is>
      </c>
      <c r="C20" s="24" t="inlineStr">
        <is>
          <t>Validate infinite scrolling viewport list adjustments</t>
        </is>
      </c>
      <c r="D20" s="24" t="inlineStr">
        <is>
          <t>Over 200 program records exist in data tables.</t>
        </is>
      </c>
      <c r="E20" s="24" t="inlineStr">
        <is>
          <t>1. Scroll rapidly to bottom page grid bounds.</t>
        </is>
      </c>
      <c r="F20" s="24" t="inlineStr">
        <is>
          <t>N/A</t>
        </is>
      </c>
      <c r="G20" s="24" t="inlineStr">
        <is>
          <t>Subsequent index elements load asynchronously with fluid scrolling performance.</t>
        </is>
      </c>
      <c r="H20" s="24" t="inlineStr"/>
      <c r="I20" s="24" t="inlineStr">
        <is>
          <t>Not Run</t>
        </is>
      </c>
      <c r="J20" s="24" t="inlineStr">
        <is>
          <t>Medium</t>
        </is>
      </c>
      <c r="K20" s="24" t="inlineStr">
        <is>
          <t>Functional</t>
        </is>
      </c>
      <c r="L20" s="24" t="inlineStr">
        <is>
          <t>QA Team</t>
        </is>
      </c>
      <c r="M20" s="24" t="inlineStr"/>
      <c r="N20" s="24" t="inlineStr"/>
    </row>
    <row r="21" ht="46" customHeight="1">
      <c r="A21" s="23" t="inlineStr">
        <is>
          <t>TRA-017</t>
        </is>
      </c>
      <c r="B21" s="23" t="inlineStr">
        <is>
          <t>Training Programs List</t>
        </is>
      </c>
      <c r="C21" s="23" t="inlineStr">
        <is>
          <t>Verify double-click intercept prevention parameters</t>
        </is>
      </c>
      <c r="D21" s="23" t="inlineStr">
        <is>
          <t>Form submission interface elements are active.</t>
        </is>
      </c>
      <c r="E21" s="23" t="inlineStr">
        <is>
          <t>1. Click the 'Save Program' element button link twice in rapid succession.</t>
        </is>
      </c>
      <c r="F21" s="23" t="inlineStr">
        <is>
          <t>Double action click</t>
        </is>
      </c>
      <c r="G21" s="23" t="inlineStr">
        <is>
          <t>The interface disables the interaction handle immediately on first tap, blocking the secondary click.</t>
        </is>
      </c>
      <c r="H21" s="23" t="inlineStr"/>
      <c r="I21" s="23" t="inlineStr">
        <is>
          <t>Not Run</t>
        </is>
      </c>
      <c r="J21" s="23" t="inlineStr">
        <is>
          <t>High</t>
        </is>
      </c>
      <c r="K21" s="23" t="inlineStr">
        <is>
          <t>Functional</t>
        </is>
      </c>
      <c r="L21" s="23" t="inlineStr">
        <is>
          <t>QA Team</t>
        </is>
      </c>
      <c r="M21" s="23" t="inlineStr"/>
      <c r="N21" s="23" t="inlineStr"/>
    </row>
    <row r="22" ht="46" customHeight="1">
      <c r="A22" s="24" t="inlineStr">
        <is>
          <t>TRA-018</t>
        </is>
      </c>
      <c r="B22" s="24" t="inlineStr">
        <is>
          <t>Training Programs List</t>
        </is>
      </c>
      <c r="C22" s="24" t="inlineStr">
        <is>
          <t>Verify bulk action deletion constraint rules</t>
        </is>
      </c>
      <c r="D22" s="24" t="inlineStr">
        <is>
          <t>One course item contains active active student enrollment parameters.</t>
        </is>
      </c>
      <c r="E22" s="24" t="inlineStr">
        <is>
          <t>1. Select 5 programs.
2. Select bulk delete from action dropdown choices.</t>
        </is>
      </c>
      <c r="F22" s="24" t="inlineStr">
        <is>
          <t>N/A</t>
        </is>
      </c>
      <c r="G22" s="24" t="inlineStr">
        <is>
          <t>Transaction aborts gracefully, popping a notification stating: 'Cannot delete course ID 4, active student dependencies exist'.</t>
        </is>
      </c>
      <c r="H22" s="24" t="inlineStr"/>
      <c r="I22" s="24" t="inlineStr">
        <is>
          <t>Not Run</t>
        </is>
      </c>
      <c r="J22" s="24" t="inlineStr">
        <is>
          <t>High</t>
        </is>
      </c>
      <c r="K22" s="24" t="inlineStr">
        <is>
          <t>Functional</t>
        </is>
      </c>
      <c r="L22" s="24" t="inlineStr">
        <is>
          <t>QA Team</t>
        </is>
      </c>
      <c r="M22" s="24" t="inlineStr"/>
      <c r="N22" s="24" t="inlineStr"/>
    </row>
    <row r="23" ht="46" customHeight="1">
      <c r="A23" s="23" t="inlineStr">
        <is>
          <t>TRA-019</t>
        </is>
      </c>
      <c r="B23" s="23" t="inlineStr">
        <is>
          <t>Training Programs List</t>
        </is>
      </c>
      <c r="C23" s="23" t="inlineStr">
        <is>
          <t>Validate layout rendering under localized text variables</t>
        </is>
      </c>
      <c r="D23" s="23" t="inlineStr">
        <is>
          <t>Localization dashboard widgets are accessible.</t>
        </is>
      </c>
      <c r="E23" s="23" t="inlineStr">
        <is>
          <t>1. Toggle dashboard system view from English text settings into Arabic text layouts.</t>
        </is>
      </c>
      <c r="F23" s="23" t="inlineStr">
        <is>
          <t>N/A</t>
        </is>
      </c>
      <c r="G23" s="23" t="inlineStr">
        <is>
          <t>Text boxes invert layouts to RTL orientation with all margins and text sizes adapting nicely.</t>
        </is>
      </c>
      <c r="H23" s="23" t="inlineStr"/>
      <c r="I23" s="23" t="inlineStr">
        <is>
          <t>Not Run</t>
        </is>
      </c>
      <c r="J23" s="23" t="inlineStr">
        <is>
          <t>Low</t>
        </is>
      </c>
      <c r="K23" s="23" t="inlineStr">
        <is>
          <t>Functional</t>
        </is>
      </c>
      <c r="L23" s="23" t="inlineStr">
        <is>
          <t>QA Team</t>
        </is>
      </c>
      <c r="M23" s="23" t="inlineStr"/>
      <c r="N23" s="23" t="inlineStr"/>
    </row>
    <row r="24" ht="46" customHeight="1">
      <c r="A24" s="24" t="inlineStr">
        <is>
          <t>TRA-020</t>
        </is>
      </c>
      <c r="B24" s="24" t="inlineStr">
        <is>
          <t>Training Programs List</t>
        </is>
      </c>
      <c r="C24" s="24" t="inlineStr">
        <is>
          <t>Route smoke test</t>
        </is>
      </c>
      <c r="D24" s="24" t="inlineStr">
        <is>
          <t>Development server running</t>
        </is>
      </c>
      <c r="E24" s="24" t="inlineStr">
        <is>
          <t>Open the implemented route on localhost:4200</t>
        </is>
      </c>
      <c r="F24" s="24" t="inlineStr">
        <is>
          <t>See steps</t>
        </is>
      </c>
      <c r="G24" s="24" t="inlineStr">
        <is>
          <t>The Angular route resolves without a 404.</t>
        </is>
      </c>
      <c r="H24" s="24" t="inlineStr">
        <is>
          <t>Not executed: requires isolated test data, credentials, or controlled API failure.</t>
        </is>
      </c>
      <c r="I24" s="24" t="inlineStr">
        <is>
          <t>Not Run</t>
        </is>
      </c>
      <c r="J24" s="24" t="inlineStr">
        <is>
          <t>Medium</t>
        </is>
      </c>
      <c r="K24" s="24" t="inlineStr">
        <is>
          <t>Functional</t>
        </is>
      </c>
      <c r="L24" s="24" t="inlineStr">
        <is>
          <t>Codex QA</t>
        </is>
      </c>
      <c r="M24" s="24" t="inlineStr">
        <is>
          <t>2026-07-20</t>
        </is>
      </c>
      <c r="N24" s="24" t="inlineStr">
        <is>
          <t>Designed from the implemented UI and service contract.</t>
        </is>
      </c>
    </row>
    <row r="25" ht="46" customHeight="1">
      <c r="A25" s="23" t="inlineStr">
        <is>
          <t>TRA-021</t>
        </is>
      </c>
      <c r="B25" s="23" t="inlineStr">
        <is>
          <t>Training Programs List</t>
        </is>
      </c>
      <c r="C25" s="23" t="inlineStr">
        <is>
          <t>Read-only API availability</t>
        </is>
      </c>
      <c r="D25" s="23" t="inlineStr">
        <is>
          <t>Local API at localhost:8080</t>
        </is>
      </c>
      <c r="E25" s="23" t="inlineStr">
        <is>
          <t>Load page with the local API running</t>
        </is>
      </c>
      <c r="F25" s="23" t="inlineStr">
        <is>
          <t>See steps</t>
        </is>
      </c>
      <c r="G25" s="23" t="inlineStr">
        <is>
          <t>Read-only data requests complete or a user-visible error is shown.</t>
        </is>
      </c>
      <c r="H25" s="23" t="inlineStr">
        <is>
          <t>Not executed: requires isolated test data, credentials, or controlled API failure.</t>
        </is>
      </c>
      <c r="I25" s="23" t="inlineStr">
        <is>
          <t>Not Run</t>
        </is>
      </c>
      <c r="J25" s="23" t="inlineStr">
        <is>
          <t>Medium</t>
        </is>
      </c>
      <c r="K25" s="23" t="inlineStr">
        <is>
          <t>Functional</t>
        </is>
      </c>
      <c r="L25" s="23" t="inlineStr">
        <is>
          <t>Codex QA</t>
        </is>
      </c>
      <c r="M25" s="23" t="inlineStr">
        <is>
          <t>2026-07-20</t>
        </is>
      </c>
      <c r="N25" s="23" t="inlineStr">
        <is>
          <t>Designed from the implemented UI and service contract.</t>
        </is>
      </c>
    </row>
    <row r="26" ht="46" customHeight="1">
      <c r="A26" s="24" t="inlineStr">
        <is>
          <t>TRA-022</t>
        </is>
      </c>
      <c r="B26" s="24" t="inlineStr">
        <is>
          <t>Training Programs List</t>
        </is>
      </c>
      <c r="C26" s="24" t="inlineStr">
        <is>
          <t>Data-changing regression</t>
        </is>
      </c>
      <c r="D26" s="24" t="inlineStr">
        <is>
          <t>Dedicated test database and account</t>
        </is>
      </c>
      <c r="E26" s="24" t="inlineStr">
        <is>
          <t>Create, edit, or delete a record using an isolated test account</t>
        </is>
      </c>
      <c r="F26" s="24" t="inlineStr">
        <is>
          <t>See steps</t>
        </is>
      </c>
      <c r="G26" s="24" t="inlineStr">
        <is>
          <t>Only the test record is changed and can be cleaned up.</t>
        </is>
      </c>
      <c r="H26" s="24" t="inlineStr">
        <is>
          <t>Not executed: requires isolated test data, credentials, or controlled API failure.</t>
        </is>
      </c>
      <c r="I26" s="24" t="inlineStr">
        <is>
          <t>Not Run</t>
        </is>
      </c>
      <c r="J26" s="24" t="inlineStr">
        <is>
          <t>Medium</t>
        </is>
      </c>
      <c r="K26" s="24" t="inlineStr">
        <is>
          <t>Functional</t>
        </is>
      </c>
      <c r="L26" s="24" t="inlineStr">
        <is>
          <t>Codex QA</t>
        </is>
      </c>
      <c r="M26" s="24" t="inlineStr">
        <is>
          <t>2026-07-20</t>
        </is>
      </c>
      <c r="N26" s="24" t="inlineStr">
        <is>
          <t>Designed from the implemented UI and service contract.</t>
        </is>
      </c>
    </row>
  </sheetData>
  <autoFilter ref="A4:N26"/>
  <mergeCells count="2">
    <mergeCell ref="A2:N2"/>
    <mergeCell ref="A1:N1"/>
  </mergeCells>
  <conditionalFormatting sqref="I5:I26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"Not Run"</formula>
    </cfRule>
    <cfRule type="cellIs" priority="4" operator="equal" dxfId="3">
      <formula>"Blocked"</formula>
    </cfRule>
  </conditionalFormatting>
  <dataValidations count="1">
    <dataValidation sqref="I5:I26" showDropDown="0" showInputMessage="0" showErrorMessage="0" allowBlank="0" type="list">
      <formula1>"Passed,Failed,Blocked,Not Run"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28" customWidth="1" min="4" max="4"/>
    <col width="40" customWidth="1" min="5" max="5"/>
    <col width="22" customWidth="1" min="6" max="6"/>
    <col width="38" customWidth="1" min="7" max="7"/>
    <col width="38" customWidth="1" min="8" max="8"/>
    <col width="14" customWidth="1" min="9" max="9"/>
    <col width="12" customWidth="1" min="10" max="10"/>
    <col width="15" customWidth="1" min="11" max="11"/>
    <col width="16" customWidth="1" min="12" max="12"/>
    <col width="16" customWidth="1" min="13" max="13"/>
    <col width="30" customWidth="1" min="14" max="14"/>
  </cols>
  <sheetData>
    <row r="1" ht="38" customHeight="1">
      <c r="A1" s="1" t="inlineStr">
        <is>
          <t>Edit Training Program</t>
        </is>
      </c>
    </row>
    <row r="2" ht="24" customHeight="1">
      <c r="A2" s="2" t="inlineStr">
        <is>
          <t>NTG Admin Module • QA test cases • Last updated: 2026-07-20</t>
        </is>
      </c>
    </row>
    <row r="4" ht="30" customHeight="1">
      <c r="A4" s="22" t="inlineStr">
        <is>
          <t>Test ID</t>
        </is>
      </c>
      <c r="B4" s="22" t="inlineStr">
        <is>
          <t>Feature</t>
        </is>
      </c>
      <c r="C4" s="22" t="inlineStr">
        <is>
          <t>Test Scenario</t>
        </is>
      </c>
      <c r="D4" s="22" t="inlineStr">
        <is>
          <t>Preconditions</t>
        </is>
      </c>
      <c r="E4" s="22" t="inlineStr">
        <is>
          <t>Test Steps</t>
        </is>
      </c>
      <c r="F4" s="22" t="inlineStr">
        <is>
          <t>Test Data</t>
        </is>
      </c>
      <c r="G4" s="22" t="inlineStr">
        <is>
          <t>Expected Result</t>
        </is>
      </c>
      <c r="H4" s="22" t="inlineStr">
        <is>
          <t>Actual Result</t>
        </is>
      </c>
      <c r="I4" s="22" t="inlineStr">
        <is>
          <t>Status</t>
        </is>
      </c>
      <c r="J4" s="22" t="inlineStr">
        <is>
          <t>Priority</t>
        </is>
      </c>
      <c r="K4" s="22" t="inlineStr">
        <is>
          <t>Test Type</t>
        </is>
      </c>
      <c r="L4" s="22" t="inlineStr">
        <is>
          <t>Tester</t>
        </is>
      </c>
      <c r="M4" s="22" t="inlineStr">
        <is>
          <t>Execution Date</t>
        </is>
      </c>
      <c r="N4" s="22" t="inlineStr">
        <is>
          <t>Notes</t>
        </is>
      </c>
    </row>
    <row r="5" ht="46" customHeight="1">
      <c r="A5" s="23" t="inlineStr">
        <is>
          <t>EDI-001</t>
        </is>
      </c>
      <c r="B5" s="23" t="inlineStr">
        <is>
          <t>Edit Training Program</t>
        </is>
      </c>
      <c r="C5" s="23" t="inlineStr">
        <is>
          <t>Automatic Data Fetching</t>
        </is>
      </c>
      <c r="D5" s="23" t="inlineStr">
        <is>
          <t>A training program with ID 50 exists.</t>
        </is>
      </c>
      <c r="E5" s="23" t="inlineStr">
        <is>
          <t>1. Navigate to Training Programs.
2. Click 'Edit' next to Program ID 50.</t>
        </is>
      </c>
      <c r="F5" s="23" t="inlineStr">
        <is>
          <t>Program ID: 50</t>
        </is>
      </c>
      <c r="G5" s="23" t="inlineStr">
        <is>
          <t>Edit page opens with current Program Name, Duration, and Instructor details fully populated.</t>
        </is>
      </c>
      <c r="H5" s="23" t="inlineStr"/>
      <c r="I5" s="23" t="inlineStr">
        <is>
          <t>Passed</t>
        </is>
      </c>
      <c r="J5" s="23" t="inlineStr">
        <is>
          <t>High</t>
        </is>
      </c>
      <c r="K5" s="23" t="inlineStr">
        <is>
          <t>Functional</t>
        </is>
      </c>
      <c r="L5" s="23" t="inlineStr">
        <is>
          <t>QA Team</t>
        </is>
      </c>
      <c r="M5" s="23" t="inlineStr"/>
      <c r="N5" s="23" t="inlineStr"/>
    </row>
    <row r="6" ht="46" customHeight="1">
      <c r="A6" s="24" t="inlineStr">
        <is>
          <t>EDI-002</t>
        </is>
      </c>
      <c r="B6" s="24" t="inlineStr">
        <is>
          <t>Edit Training Program</t>
        </is>
      </c>
      <c r="C6" s="24" t="inlineStr">
        <is>
          <t>Successful Program Update</t>
        </is>
      </c>
      <c r="D6" s="24" t="inlineStr">
        <is>
          <t>User is on the Edit Program page.</t>
        </is>
      </c>
      <c r="E6" s="24" t="inlineStr">
        <is>
          <t>1. Change Program Duration.
2. Click the 'Save Changes' button.</t>
        </is>
      </c>
      <c r="F6" s="24" t="inlineStr">
        <is>
          <t>Duration changed from 20 to 30 hours</t>
        </is>
      </c>
      <c r="G6" s="24" t="inlineStr">
        <is>
          <t>A success message appears, database is updated, and user is redirected back to the list.</t>
        </is>
      </c>
      <c r="H6" s="24" t="inlineStr"/>
      <c r="I6" s="24" t="inlineStr">
        <is>
          <t>Passed</t>
        </is>
      </c>
      <c r="J6" s="24" t="inlineStr">
        <is>
          <t>High</t>
        </is>
      </c>
      <c r="K6" s="24" t="inlineStr">
        <is>
          <t>Functional</t>
        </is>
      </c>
      <c r="L6" s="24" t="inlineStr">
        <is>
          <t>QA Team</t>
        </is>
      </c>
      <c r="M6" s="24" t="inlineStr"/>
      <c r="N6" s="24" t="inlineStr"/>
    </row>
    <row r="7" ht="46" customHeight="1">
      <c r="A7" s="23" t="inlineStr">
        <is>
          <t>EDI-003</t>
        </is>
      </c>
      <c r="B7" s="23" t="inlineStr">
        <is>
          <t>Edit Training Program</t>
        </is>
      </c>
      <c r="C7" s="23" t="inlineStr">
        <is>
          <t>Logical Date Constraint Validation</t>
        </is>
      </c>
      <c r="D7" s="23" t="inlineStr">
        <is>
          <t>User is on the Edit Program page.</t>
        </is>
      </c>
      <c r="E7" s="23" t="inlineStr">
        <is>
          <t>1. Adjust End Date to a calendar date before the Start Date.
2. Click 'Save'.</t>
        </is>
      </c>
      <c r="F7" s="23" t="inlineStr">
        <is>
          <t>Start: 2026-08-01, End: 2026-07-15</t>
        </is>
      </c>
      <c r="G7" s="23" t="inlineStr">
        <is>
          <t>System rejects the save action and displays error: 'End Date cannot be earlier than Start Date.'</t>
        </is>
      </c>
      <c r="H7" s="23" t="inlineStr"/>
      <c r="I7" s="23" t="inlineStr">
        <is>
          <t>Passed</t>
        </is>
      </c>
      <c r="J7" s="23" t="inlineStr">
        <is>
          <t>High</t>
        </is>
      </c>
      <c r="K7" s="23" t="inlineStr">
        <is>
          <t>Functional</t>
        </is>
      </c>
      <c r="L7" s="23" t="inlineStr">
        <is>
          <t>QA Team</t>
        </is>
      </c>
      <c r="M7" s="23" t="inlineStr"/>
      <c r="N7" s="23" t="inlineStr"/>
    </row>
    <row r="8" ht="46" customHeight="1">
      <c r="A8" s="24" t="inlineStr">
        <is>
          <t>EDI-004</t>
        </is>
      </c>
      <c r="B8" s="24" t="inlineStr">
        <is>
          <t>Edit Training Program</t>
        </is>
      </c>
      <c r="C8" s="24" t="inlineStr">
        <is>
          <t>Negative Numerical Values Block</t>
        </is>
      </c>
      <c r="D8" s="24" t="inlineStr">
        <is>
          <t>User is on the Edit Program page.</t>
        </is>
      </c>
      <c r="E8" s="24" t="inlineStr">
        <is>
          <t>1. Input a negative value into 'Max Capacity' field.
2. Click 'Save'.</t>
        </is>
      </c>
      <c r="F8" s="24" t="inlineStr">
        <is>
          <t>Max Capacity: -5</t>
        </is>
      </c>
      <c r="G8" s="24" t="inlineStr">
        <is>
          <t>Validation error fires immediately: 'Value must be a positive integer greater than zero.'</t>
        </is>
      </c>
      <c r="H8" s="24" t="inlineStr"/>
      <c r="I8" s="24" t="inlineStr">
        <is>
          <t>Passed</t>
        </is>
      </c>
      <c r="J8" s="24" t="inlineStr">
        <is>
          <t>Medium</t>
        </is>
      </c>
      <c r="K8" s="24" t="inlineStr">
        <is>
          <t>Functional</t>
        </is>
      </c>
      <c r="L8" s="24" t="inlineStr">
        <is>
          <t>QA Team</t>
        </is>
      </c>
      <c r="M8" s="24" t="inlineStr"/>
      <c r="N8" s="24" t="inlineStr"/>
    </row>
    <row r="9" ht="46" customHeight="1">
      <c r="A9" s="23" t="inlineStr">
        <is>
          <t>EDI-005</t>
        </is>
      </c>
      <c r="B9" s="23" t="inlineStr">
        <is>
          <t>Edit Training Program</t>
        </is>
      </c>
      <c r="C9" s="23" t="inlineStr">
        <is>
          <t>Cancel Button Functionality</t>
        </is>
      </c>
      <c r="D9" s="23" t="inlineStr">
        <is>
          <t>User has made changes to the form fields.</t>
        </is>
      </c>
      <c r="E9" s="23" t="inlineStr">
        <is>
          <t>1. Modify the Program Name field.
2. Click the 'Cancel' button.</t>
        </is>
      </c>
      <c r="F9" s="23" t="inlineStr">
        <is>
          <t>Modifications in input fields</t>
        </is>
      </c>
      <c r="G9" s="23" t="inlineStr">
        <is>
          <t>Form closes without saving. Original program details remain completely unaltered in the database.</t>
        </is>
      </c>
      <c r="H9" s="23" t="inlineStr"/>
      <c r="I9" s="23" t="inlineStr">
        <is>
          <t>Passed</t>
        </is>
      </c>
      <c r="J9" s="23" t="inlineStr">
        <is>
          <t>Medium</t>
        </is>
      </c>
      <c r="K9" s="23" t="inlineStr">
        <is>
          <t>Functional</t>
        </is>
      </c>
      <c r="L9" s="23" t="inlineStr">
        <is>
          <t>QA Team</t>
        </is>
      </c>
      <c r="M9" s="23" t="inlineStr"/>
      <c r="N9" s="23" t="inlineStr"/>
    </row>
    <row r="10" ht="46" customHeight="1">
      <c r="A10" s="24" t="inlineStr">
        <is>
          <t>EDI-006</t>
        </is>
      </c>
      <c r="B10" s="24" t="inlineStr">
        <is>
          <t>Edit Training Program</t>
        </is>
      </c>
      <c r="C10" s="24" t="inlineStr">
        <is>
          <t>Character Limit Boundary Test</t>
        </is>
      </c>
      <c r="D10" s="24" t="inlineStr">
        <is>
          <t>User is on the Edit Program page.</t>
        </is>
      </c>
      <c r="E10" s="24" t="inlineStr">
        <is>
          <t>1. Paste a text string of 1200 characters into the Description box.
2. Attempt to save.</t>
        </is>
      </c>
      <c r="F10" s="24" t="inlineStr">
        <is>
          <t>String length: 1200 chars</t>
        </is>
      </c>
      <c r="G10" s="24" t="inlineStr">
        <is>
          <t>System gracefully restricts input with a counter or shows error: 'Description cannot exceed 1000 characters'.</t>
        </is>
      </c>
      <c r="H10" s="24" t="inlineStr"/>
      <c r="I10" s="24" t="inlineStr">
        <is>
          <t>Passed</t>
        </is>
      </c>
      <c r="J10" s="24" t="inlineStr">
        <is>
          <t>Low</t>
        </is>
      </c>
      <c r="K10" s="24" t="inlineStr">
        <is>
          <t>Functional</t>
        </is>
      </c>
      <c r="L10" s="24" t="inlineStr">
        <is>
          <t>QA Team</t>
        </is>
      </c>
      <c r="M10" s="24" t="inlineStr"/>
      <c r="N10" s="24" t="inlineStr"/>
    </row>
    <row r="11" ht="46" customHeight="1">
      <c r="A11" s="23" t="inlineStr">
        <is>
          <t>EDI-007</t>
        </is>
      </c>
      <c r="B11" s="23" t="inlineStr">
        <is>
          <t>Edit Training Program</t>
        </is>
      </c>
      <c r="C11" s="23" t="inlineStr">
        <is>
          <t>Verify program status toggle dependency validation</t>
        </is>
      </c>
      <c r="D11" s="23" t="inlineStr">
        <is>
          <t>Program has active student records enrolled.</t>
        </is>
      </c>
      <c r="E11" s="23" t="inlineStr">
        <is>
          <t>1. Toggle program status switch to 'Archived'.
2. Try to assign a new student to it.</t>
        </is>
      </c>
      <c r="F11" s="23" t="inlineStr">
        <is>
          <t>Program ID: 50, Action: Archive</t>
        </is>
      </c>
      <c r="G11" s="23" t="inlineStr">
        <is>
          <t>Status changes to archived, and subsequent enrollment endpoint triggers an error preventing registration.</t>
        </is>
      </c>
      <c r="H11" s="23" t="inlineStr"/>
      <c r="I11" s="23" t="inlineStr">
        <is>
          <t>Not Run</t>
        </is>
      </c>
      <c r="J11" s="23" t="inlineStr">
        <is>
          <t>High</t>
        </is>
      </c>
      <c r="K11" s="23" t="inlineStr">
        <is>
          <t>Functional</t>
        </is>
      </c>
      <c r="L11" s="23" t="inlineStr">
        <is>
          <t>QA Team</t>
        </is>
      </c>
      <c r="M11" s="23" t="inlineStr"/>
      <c r="N11" s="23" t="inlineStr"/>
    </row>
    <row r="12" ht="46" customHeight="1">
      <c r="A12" s="24" t="inlineStr">
        <is>
          <t>EDI-008</t>
        </is>
      </c>
      <c r="B12" s="24" t="inlineStr">
        <is>
          <t>Edit Training Program</t>
        </is>
      </c>
      <c r="C12" s="24" t="inlineStr">
        <is>
          <t>Verify audit log history tracking entries generation</t>
        </is>
      </c>
      <c r="D12" s="24" t="inlineStr">
        <is>
          <t>Admin user modifies program parameters.</t>
        </is>
      </c>
      <c r="E12" s="24" t="inlineStr">
        <is>
          <t>1. Alter the 'Training Program Title' from 'Java' to 'Advanced Java'.
2. Click save changes.</t>
        </is>
      </c>
      <c r="F12" s="24" t="inlineStr">
        <is>
          <t>Title modification payload strings</t>
        </is>
      </c>
      <c r="G12" s="24" t="inlineStr">
        <is>
          <t>A new database log row entry is captured indicating field alterations, original values, and current updates.</t>
        </is>
      </c>
      <c r="H12" s="24" t="inlineStr"/>
      <c r="I12" s="24" t="inlineStr">
        <is>
          <t>Not Run</t>
        </is>
      </c>
      <c r="J12" s="24" t="inlineStr">
        <is>
          <t>Medium</t>
        </is>
      </c>
      <c r="K12" s="24" t="inlineStr">
        <is>
          <t>Functional</t>
        </is>
      </c>
      <c r="L12" s="24" t="inlineStr">
        <is>
          <t>QA Team</t>
        </is>
      </c>
      <c r="M12" s="24" t="inlineStr"/>
      <c r="N12" s="24" t="inlineStr"/>
    </row>
    <row r="13" ht="46" customHeight="1">
      <c r="A13" s="23" t="inlineStr">
        <is>
          <t>EDI-009</t>
        </is>
      </c>
      <c r="B13" s="23" t="inlineStr">
        <is>
          <t>Edit Training Program</t>
        </is>
      </c>
      <c r="C13" s="23" t="inlineStr">
        <is>
          <t>Verify total runtime hours automatic calculation logic</t>
        </is>
      </c>
      <c r="D13" s="23" t="inlineStr">
        <is>
          <t>User alters calendar selections.</t>
        </is>
      </c>
      <c r="E13" s="23" t="inlineStr">
        <is>
          <t>1. Change Start Date to July 1.
2. Change End Date to July 15.</t>
        </is>
      </c>
      <c r="F13" s="23" t="inlineStr">
        <is>
          <t>Calendar adjustments</t>
        </is>
      </c>
      <c r="G13" s="23" t="inlineStr">
        <is>
          <t>The interface automatically calculates the distance and updates the total program duration read-only field dynamically.</t>
        </is>
      </c>
      <c r="H13" s="23" t="inlineStr"/>
      <c r="I13" s="23" t="inlineStr">
        <is>
          <t>Not Run</t>
        </is>
      </c>
      <c r="J13" s="23" t="inlineStr">
        <is>
          <t>Low</t>
        </is>
      </c>
      <c r="K13" s="23" t="inlineStr">
        <is>
          <t>Functional</t>
        </is>
      </c>
      <c r="L13" s="23" t="inlineStr">
        <is>
          <t>QA Team</t>
        </is>
      </c>
      <c r="M13" s="23" t="inlineStr"/>
      <c r="N13" s="23" t="inlineStr"/>
    </row>
    <row r="14" ht="46" customHeight="1">
      <c r="A14" s="24" t="inlineStr">
        <is>
          <t>EDI-010</t>
        </is>
      </c>
      <c r="B14" s="24" t="inlineStr">
        <is>
          <t>Edit Training Program</t>
        </is>
      </c>
      <c r="C14" s="24" t="inlineStr">
        <is>
          <t>Verify prerequisite program binding requirements validations</t>
        </is>
      </c>
      <c r="D14" s="24" t="inlineStr">
        <is>
          <t>User updates the program prerequisite selector interface layout configuration.</t>
        </is>
      </c>
      <c r="E14" s="24" t="inlineStr">
        <is>
          <t>1. Select program ID 50 inside the 'Prerequisite Course Selection dropdown' for program 50.
2. Save.</t>
        </is>
      </c>
      <c r="F14" s="24" t="inlineStr">
        <is>
          <t>Prerequisite ID: 50, Master ID: 50</t>
        </is>
      </c>
      <c r="G14" s="24" t="inlineStr">
        <is>
          <t>The submission interface fires validation alert: 'A training program cannot be a prerequisite of itself.'</t>
        </is>
      </c>
      <c r="H14" s="24" t="inlineStr"/>
      <c r="I14" s="24" t="inlineStr">
        <is>
          <t>Not Run</t>
        </is>
      </c>
      <c r="J14" s="24" t="inlineStr">
        <is>
          <t>High</t>
        </is>
      </c>
      <c r="K14" s="24" t="inlineStr">
        <is>
          <t>Functional</t>
        </is>
      </c>
      <c r="L14" s="24" t="inlineStr">
        <is>
          <t>QA Team</t>
        </is>
      </c>
      <c r="M14" s="24" t="inlineStr"/>
      <c r="N14" s="24" t="inlineStr"/>
    </row>
    <row r="15" ht="46" customHeight="1">
      <c r="A15" s="23" t="inlineStr">
        <is>
          <t>EDI-011</t>
        </is>
      </c>
      <c r="B15" s="23" t="inlineStr">
        <is>
          <t>Edit Training Program</t>
        </is>
      </c>
      <c r="C15" s="23" t="inlineStr">
        <is>
          <t>Verify lookup parameter selection modal dynamic search</t>
        </is>
      </c>
      <c r="D15" s="23" t="inlineStr">
        <is>
          <t>Over 50 instructor profile records exist in DB models.</t>
        </is>
      </c>
      <c r="E15" s="23" t="inlineStr">
        <is>
          <t>1. Open Instructor Selection dialog field box.
2. Type keyword search letters.</t>
        </is>
      </c>
      <c r="F15" s="23" t="inlineStr">
        <is>
          <t>Search string: 'Eng. Aly'</t>
        </is>
      </c>
      <c r="G15" s="23" t="inlineStr">
        <is>
          <t>Modal grid shrinks records to matches containing the chosen sub-string variables instantly.</t>
        </is>
      </c>
      <c r="H15" s="23" t="inlineStr"/>
      <c r="I15" s="23" t="inlineStr">
        <is>
          <t>Not Run</t>
        </is>
      </c>
      <c r="J15" s="23" t="inlineStr">
        <is>
          <t>Medium</t>
        </is>
      </c>
      <c r="K15" s="23" t="inlineStr">
        <is>
          <t>Functional</t>
        </is>
      </c>
      <c r="L15" s="23" t="inlineStr">
        <is>
          <t>QA Team</t>
        </is>
      </c>
      <c r="M15" s="23" t="inlineStr"/>
      <c r="N15" s="23" t="inlineStr"/>
    </row>
    <row r="16" ht="46" customHeight="1">
      <c r="A16" s="24" t="inlineStr">
        <is>
          <t>EDI-012</t>
        </is>
      </c>
      <c r="B16" s="24" t="inlineStr">
        <is>
          <t>Edit Training Program</t>
        </is>
      </c>
      <c r="C16" s="24" t="inlineStr">
        <is>
          <t>Validate automatic dirty checking tracking status</t>
        </is>
      </c>
      <c r="D16" s="24" t="inlineStr">
        <is>
          <t>User changes values in field input components.</t>
        </is>
      </c>
      <c r="E16" s="24" t="inlineStr">
        <is>
          <t>1. Edit course name value parameters.
2. Click sidebar navigation link without saving.</t>
        </is>
      </c>
      <c r="F16" s="24" t="inlineStr">
        <is>
          <t>Dirty state modification</t>
        </is>
      </c>
      <c r="G16" s="24" t="inlineStr">
        <is>
          <t>A pop-up alert interrupts routing navigation: 'You have unsaved changes. Are you sure you want to discard them?'</t>
        </is>
      </c>
      <c r="H16" s="24" t="inlineStr"/>
      <c r="I16" s="24" t="inlineStr">
        <is>
          <t>Not Run</t>
        </is>
      </c>
      <c r="J16" s="24" t="inlineStr">
        <is>
          <t>High</t>
        </is>
      </c>
      <c r="K16" s="24" t="inlineStr">
        <is>
          <t>Functional</t>
        </is>
      </c>
      <c r="L16" s="24" t="inlineStr">
        <is>
          <t>QA Team</t>
        </is>
      </c>
      <c r="M16" s="24" t="inlineStr"/>
      <c r="N16" s="24" t="inlineStr"/>
    </row>
    <row r="17" ht="46" customHeight="1">
      <c r="A17" s="23" t="inlineStr">
        <is>
          <t>EDI-013</t>
        </is>
      </c>
      <c r="B17" s="23" t="inlineStr">
        <is>
          <t>Edit Training Program</t>
        </is>
      </c>
      <c r="C17" s="23" t="inlineStr">
        <is>
          <t>Verify special alphanumeric code constraint criteria</t>
        </is>
      </c>
      <c r="D17" s="23" t="inlineStr">
        <is>
          <t>Alphanumeric key fields validation mapping layers are active.</t>
        </is>
      </c>
      <c r="E17" s="23" t="inlineStr">
        <is>
          <t>1. Type spaces or special character configurations inside 'Course Code' input block.</t>
        </is>
      </c>
      <c r="F17" s="23" t="inlineStr">
        <is>
          <t>Input text: 'CS 101 #'</t>
        </is>
      </c>
      <c r="G17" s="23" t="inlineStr">
        <is>
          <t>Form prevents submission and highlights formatting standard constraints instantly.</t>
        </is>
      </c>
      <c r="H17" s="23" t="inlineStr"/>
      <c r="I17" s="23" t="inlineStr">
        <is>
          <t>Not Run</t>
        </is>
      </c>
      <c r="J17" s="23" t="inlineStr">
        <is>
          <t>Medium</t>
        </is>
      </c>
      <c r="K17" s="23" t="inlineStr">
        <is>
          <t>Functional</t>
        </is>
      </c>
      <c r="L17" s="23" t="inlineStr">
        <is>
          <t>QA Team</t>
        </is>
      </c>
      <c r="M17" s="23" t="inlineStr"/>
      <c r="N17" s="23" t="inlineStr"/>
    </row>
    <row r="18" ht="46" customHeight="1">
      <c r="A18" s="24" t="inlineStr">
        <is>
          <t>EDI-014</t>
        </is>
      </c>
      <c r="B18" s="24" t="inlineStr">
        <is>
          <t>Edit Training Program</t>
        </is>
      </c>
      <c r="C18" s="24" t="inlineStr">
        <is>
          <t>Verify multi-select checklist items state commitment</t>
        </is>
      </c>
      <c r="D18" s="24" t="inlineStr">
        <is>
          <t>Topic selection component nodes are active.</t>
        </is>
      </c>
      <c r="E18" s="24" t="inlineStr">
        <is>
          <t>1. Select 4 distinct subject checkboxes.
2. Click save change data metrics.</t>
        </is>
      </c>
      <c r="F18" s="24" t="inlineStr">
        <is>
          <t>Checked entity collections parameters</t>
        </is>
      </c>
      <c r="G18" s="24" t="inlineStr">
        <is>
          <t>The data model maps exactly 4 corresponding reference keys inside the payload entity array.</t>
        </is>
      </c>
      <c r="H18" s="24" t="inlineStr"/>
      <c r="I18" s="24" t="inlineStr">
        <is>
          <t>Not Run</t>
        </is>
      </c>
      <c r="J18" s="24" t="inlineStr">
        <is>
          <t>Medium</t>
        </is>
      </c>
      <c r="K18" s="24" t="inlineStr">
        <is>
          <t>Functional</t>
        </is>
      </c>
      <c r="L18" s="24" t="inlineStr">
        <is>
          <t>QA Team</t>
        </is>
      </c>
      <c r="M18" s="24" t="inlineStr"/>
      <c r="N18" s="24" t="inlineStr"/>
    </row>
    <row r="19" ht="46" customHeight="1">
      <c r="A19" s="23" t="inlineStr">
        <is>
          <t>EDI-015</t>
        </is>
      </c>
      <c r="B19" s="23" t="inlineStr">
        <is>
          <t>Edit Training Program</t>
        </is>
      </c>
      <c r="C19" s="23" t="inlineStr">
        <is>
          <t>Validate concurrent version patch collision handling</t>
        </is>
      </c>
      <c r="D19" s="23" t="inlineStr">
        <is>
          <t>Target entity record gets deleted by separate admin right before save action click.</t>
        </is>
      </c>
      <c r="E19" s="23" t="inlineStr">
        <is>
          <t>1. Click save modified properties on current view.</t>
        </is>
      </c>
      <c r="F19" s="23" t="inlineStr">
        <is>
          <t>Target entity row elimination parameter</t>
        </is>
      </c>
      <c r="G19" s="23" t="inlineStr">
        <is>
          <t>System catches 404/410 network status and serves clean toast message stating: 'Record no longer exists or has been removed'.</t>
        </is>
      </c>
      <c r="H19" s="23" t="inlineStr"/>
      <c r="I19" s="23" t="inlineStr">
        <is>
          <t>Not Run</t>
        </is>
      </c>
      <c r="J19" s="23" t="inlineStr">
        <is>
          <t>High</t>
        </is>
      </c>
      <c r="K19" s="23" t="inlineStr">
        <is>
          <t>Functional</t>
        </is>
      </c>
      <c r="L19" s="23" t="inlineStr">
        <is>
          <t>QA Team</t>
        </is>
      </c>
      <c r="M19" s="23" t="inlineStr"/>
      <c r="N19" s="23" t="inlineStr"/>
    </row>
    <row r="20" ht="46" customHeight="1">
      <c r="A20" s="24" t="inlineStr">
        <is>
          <t>EDI-016</t>
        </is>
      </c>
      <c r="B20" s="24" t="inlineStr">
        <is>
          <t>Edit Training Program</t>
        </is>
      </c>
      <c r="C20" s="24" t="inlineStr">
        <is>
          <t>Route smoke test</t>
        </is>
      </c>
      <c r="D20" s="24" t="inlineStr">
        <is>
          <t>Development server running</t>
        </is>
      </c>
      <c r="E20" s="24" t="inlineStr">
        <is>
          <t>Open the implemented route on localhost:4200</t>
        </is>
      </c>
      <c r="F20" s="24" t="inlineStr">
        <is>
          <t>See steps</t>
        </is>
      </c>
      <c r="G20" s="24" t="inlineStr">
        <is>
          <t>The Angular route resolves without a 404.</t>
        </is>
      </c>
      <c r="H20" s="24" t="inlineStr">
        <is>
          <t>Not executed: requires isolated test data, credentials, or controlled API failure.</t>
        </is>
      </c>
      <c r="I20" s="24" t="inlineStr">
        <is>
          <t>Not Run</t>
        </is>
      </c>
      <c r="J20" s="24" t="inlineStr">
        <is>
          <t>Medium</t>
        </is>
      </c>
      <c r="K20" s="24" t="inlineStr">
        <is>
          <t>Functional</t>
        </is>
      </c>
      <c r="L20" s="24" t="inlineStr">
        <is>
          <t>Codex QA</t>
        </is>
      </c>
      <c r="M20" s="24" t="inlineStr">
        <is>
          <t>2026-07-20</t>
        </is>
      </c>
      <c r="N20" s="24" t="inlineStr">
        <is>
          <t>Designed from the implemented UI and service contract.</t>
        </is>
      </c>
    </row>
    <row r="21" ht="46" customHeight="1">
      <c r="A21" s="23" t="inlineStr">
        <is>
          <t>EDI-017</t>
        </is>
      </c>
      <c r="B21" s="23" t="inlineStr">
        <is>
          <t>Edit Training Program</t>
        </is>
      </c>
      <c r="C21" s="23" t="inlineStr">
        <is>
          <t>Read-only API availability</t>
        </is>
      </c>
      <c r="D21" s="23" t="inlineStr">
        <is>
          <t>Local API at localhost:8080</t>
        </is>
      </c>
      <c r="E21" s="23" t="inlineStr">
        <is>
          <t>Load page with the local API running</t>
        </is>
      </c>
      <c r="F21" s="23" t="inlineStr">
        <is>
          <t>See steps</t>
        </is>
      </c>
      <c r="G21" s="23" t="inlineStr">
        <is>
          <t>Read-only data requests complete or a user-visible error is shown.</t>
        </is>
      </c>
      <c r="H21" s="23" t="inlineStr">
        <is>
          <t>Not executed: requires isolated test data, credentials, or controlled API failure.</t>
        </is>
      </c>
      <c r="I21" s="23" t="inlineStr">
        <is>
          <t>Not Run</t>
        </is>
      </c>
      <c r="J21" s="23" t="inlineStr">
        <is>
          <t>Medium</t>
        </is>
      </c>
      <c r="K21" s="23" t="inlineStr">
        <is>
          <t>Functional</t>
        </is>
      </c>
      <c r="L21" s="23" t="inlineStr">
        <is>
          <t>Codex QA</t>
        </is>
      </c>
      <c r="M21" s="23" t="inlineStr">
        <is>
          <t>2026-07-20</t>
        </is>
      </c>
      <c r="N21" s="23" t="inlineStr">
        <is>
          <t>Designed from the implemented UI and service contract.</t>
        </is>
      </c>
    </row>
    <row r="22" ht="46" customHeight="1">
      <c r="A22" s="24" t="inlineStr">
        <is>
          <t>EDI-018</t>
        </is>
      </c>
      <c r="B22" s="24" t="inlineStr">
        <is>
          <t>Edit Training Program</t>
        </is>
      </c>
      <c r="C22" s="24" t="inlineStr">
        <is>
          <t>Data-changing regression</t>
        </is>
      </c>
      <c r="D22" s="24" t="inlineStr">
        <is>
          <t>Dedicated test database and account</t>
        </is>
      </c>
      <c r="E22" s="24" t="inlineStr">
        <is>
          <t>Create, edit, or delete a record using an isolated test account</t>
        </is>
      </c>
      <c r="F22" s="24" t="inlineStr">
        <is>
          <t>See steps</t>
        </is>
      </c>
      <c r="G22" s="24" t="inlineStr">
        <is>
          <t>Only the test record is changed and can be cleaned up.</t>
        </is>
      </c>
      <c r="H22" s="24" t="inlineStr">
        <is>
          <t>Not executed: requires isolated test data, credentials, or controlled API failure.</t>
        </is>
      </c>
      <c r="I22" s="24" t="inlineStr">
        <is>
          <t>Not Run</t>
        </is>
      </c>
      <c r="J22" s="24" t="inlineStr">
        <is>
          <t>Medium</t>
        </is>
      </c>
      <c r="K22" s="24" t="inlineStr">
        <is>
          <t>Functional</t>
        </is>
      </c>
      <c r="L22" s="24" t="inlineStr">
        <is>
          <t>Codex QA</t>
        </is>
      </c>
      <c r="M22" s="24" t="inlineStr">
        <is>
          <t>2026-07-20</t>
        </is>
      </c>
      <c r="N22" s="24" t="inlineStr">
        <is>
          <t>Designed from the implemented UI and service contract.</t>
        </is>
      </c>
    </row>
  </sheetData>
  <autoFilter ref="A4:N22"/>
  <mergeCells count="2">
    <mergeCell ref="A2:N2"/>
    <mergeCell ref="A1:N1"/>
  </mergeCells>
  <conditionalFormatting sqref="I5:I22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"Not Run"</formula>
    </cfRule>
    <cfRule type="cellIs" priority="4" operator="equal" dxfId="3">
      <formula>"Blocked"</formula>
    </cfRule>
  </conditionalFormatting>
  <dataValidations count="1">
    <dataValidation sqref="I5:I22" showDropDown="0" showInputMessage="0" showErrorMessage="0" allowBlank="0" type="list">
      <formula1>"Passed,Failed,Blocked,Not Run"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28" customWidth="1" min="4" max="4"/>
    <col width="40" customWidth="1" min="5" max="5"/>
    <col width="22" customWidth="1" min="6" max="6"/>
    <col width="38" customWidth="1" min="7" max="7"/>
    <col width="38" customWidth="1" min="8" max="8"/>
    <col width="14" customWidth="1" min="9" max="9"/>
    <col width="12" customWidth="1" min="10" max="10"/>
    <col width="15" customWidth="1" min="11" max="11"/>
    <col width="16" customWidth="1" min="12" max="12"/>
    <col width="16" customWidth="1" min="13" max="13"/>
    <col width="30" customWidth="1" min="14" max="14"/>
  </cols>
  <sheetData>
    <row r="1" ht="38" customHeight="1">
      <c r="A1" s="1" t="inlineStr">
        <is>
          <t>Training Program Details</t>
        </is>
      </c>
    </row>
    <row r="2" ht="24" customHeight="1">
      <c r="A2" s="2" t="inlineStr">
        <is>
          <t>NTG Admin Module • QA test cases • Last updated: 2026-07-20</t>
        </is>
      </c>
    </row>
    <row r="4" ht="30" customHeight="1">
      <c r="A4" s="22" t="inlineStr">
        <is>
          <t>Test ID</t>
        </is>
      </c>
      <c r="B4" s="22" t="inlineStr">
        <is>
          <t>Feature</t>
        </is>
      </c>
      <c r="C4" s="22" t="inlineStr">
        <is>
          <t>Test Scenario</t>
        </is>
      </c>
      <c r="D4" s="22" t="inlineStr">
        <is>
          <t>Preconditions</t>
        </is>
      </c>
      <c r="E4" s="22" t="inlineStr">
        <is>
          <t>Test Steps</t>
        </is>
      </c>
      <c r="F4" s="22" t="inlineStr">
        <is>
          <t>Test Data</t>
        </is>
      </c>
      <c r="G4" s="22" t="inlineStr">
        <is>
          <t>Expected Result</t>
        </is>
      </c>
      <c r="H4" s="22" t="inlineStr">
        <is>
          <t>Actual Result</t>
        </is>
      </c>
      <c r="I4" s="22" t="inlineStr">
        <is>
          <t>Status</t>
        </is>
      </c>
      <c r="J4" s="22" t="inlineStr">
        <is>
          <t>Priority</t>
        </is>
      </c>
      <c r="K4" s="22" t="inlineStr">
        <is>
          <t>Test Type</t>
        </is>
      </c>
      <c r="L4" s="22" t="inlineStr">
        <is>
          <t>Tester</t>
        </is>
      </c>
      <c r="M4" s="22" t="inlineStr">
        <is>
          <t>Execution Date</t>
        </is>
      </c>
      <c r="N4" s="22" t="inlineStr">
        <is>
          <t>Notes</t>
        </is>
      </c>
    </row>
    <row r="5" ht="46" customHeight="1">
      <c r="A5" s="23" t="inlineStr">
        <is>
          <t>TRA-001</t>
        </is>
      </c>
      <c r="B5" s="23" t="inlineStr">
        <is>
          <t>Training Program Details</t>
        </is>
      </c>
      <c r="C5" s="23" t="inlineStr">
        <is>
          <t>Overview loads</t>
        </is>
      </c>
      <c r="D5" s="23" t="inlineStr">
        <is>
          <t>A valid training program exists</t>
        </is>
      </c>
      <c r="E5" s="23" t="inlineStr">
        <is>
          <t>Open /programs/{validId}</t>
        </is>
      </c>
      <c r="F5" s="23" t="inlineStr">
        <is>
          <t>See steps</t>
        </is>
      </c>
      <c r="G5" s="23" t="inlineStr">
        <is>
          <t>Program summary, dates, counts and chart are shown.</t>
        </is>
      </c>
      <c r="H5" s="23" t="inlineStr">
        <is>
          <t>Not executed: requires isolated test data, credentials, or controlled API failure.</t>
        </is>
      </c>
      <c r="I5" s="23" t="inlineStr">
        <is>
          <t>Not Run</t>
        </is>
      </c>
      <c r="J5" s="23" t="inlineStr">
        <is>
          <t>Medium</t>
        </is>
      </c>
      <c r="K5" s="23" t="inlineStr">
        <is>
          <t>Functional</t>
        </is>
      </c>
      <c r="L5" s="23" t="inlineStr">
        <is>
          <t>Codex QA</t>
        </is>
      </c>
      <c r="M5" s="23" t="inlineStr">
        <is>
          <t>2026-07-20</t>
        </is>
      </c>
      <c r="N5" s="23" t="inlineStr">
        <is>
          <t>Designed from the implemented UI and service contract.</t>
        </is>
      </c>
    </row>
    <row r="6" ht="46" customHeight="1">
      <c r="A6" s="24" t="inlineStr">
        <is>
          <t>TRA-002</t>
        </is>
      </c>
      <c r="B6" s="24" t="inlineStr">
        <is>
          <t>Training Program Details</t>
        </is>
      </c>
      <c r="C6" s="24" t="inlineStr">
        <is>
          <t>Students tab</t>
        </is>
      </c>
      <c r="D6" s="24" t="inlineStr">
        <is>
          <t>Program has students</t>
        </is>
      </c>
      <c r="E6" s="24" t="inlineStr">
        <is>
          <t>Open /programs/{validId}/students</t>
        </is>
      </c>
      <c r="F6" s="24" t="inlineStr">
        <is>
          <t>See steps</t>
        </is>
      </c>
      <c r="G6" s="24" t="inlineStr">
        <is>
          <t>Only students in the selected program are listed.</t>
        </is>
      </c>
      <c r="H6" s="24" t="inlineStr">
        <is>
          <t>Not executed: requires isolated test data, credentials, or controlled API failure.</t>
        </is>
      </c>
      <c r="I6" s="24" t="inlineStr">
        <is>
          <t>Not Run</t>
        </is>
      </c>
      <c r="J6" s="24" t="inlineStr">
        <is>
          <t>Medium</t>
        </is>
      </c>
      <c r="K6" s="24" t="inlineStr">
        <is>
          <t>Functional</t>
        </is>
      </c>
      <c r="L6" s="24" t="inlineStr">
        <is>
          <t>Codex QA</t>
        </is>
      </c>
      <c r="M6" s="24" t="inlineStr">
        <is>
          <t>2026-07-20</t>
        </is>
      </c>
      <c r="N6" s="24" t="inlineStr">
        <is>
          <t>Designed from the implemented UI and service contract.</t>
        </is>
      </c>
    </row>
    <row r="7" ht="46" customHeight="1">
      <c r="A7" s="23" t="inlineStr">
        <is>
          <t>TRA-003</t>
        </is>
      </c>
      <c r="B7" s="23" t="inlineStr">
        <is>
          <t>Training Program Details</t>
        </is>
      </c>
      <c r="C7" s="23" t="inlineStr">
        <is>
          <t>Engineers tab</t>
        </is>
      </c>
      <c r="D7" s="23" t="inlineStr">
        <is>
          <t>Program has an assigned engineer</t>
        </is>
      </c>
      <c r="E7" s="23" t="inlineStr">
        <is>
          <t>Open /programs/{validId}/engineers</t>
        </is>
      </c>
      <c r="F7" s="23" t="inlineStr">
        <is>
          <t>See steps</t>
        </is>
      </c>
      <c r="G7" s="23" t="inlineStr">
        <is>
          <t>Assigned engineer information and navigation are shown.</t>
        </is>
      </c>
      <c r="H7" s="23" t="inlineStr">
        <is>
          <t>Not executed: requires isolated test data, credentials, or controlled API failure.</t>
        </is>
      </c>
      <c r="I7" s="23" t="inlineStr">
        <is>
          <t>Not Run</t>
        </is>
      </c>
      <c r="J7" s="23" t="inlineStr">
        <is>
          <t>Medium</t>
        </is>
      </c>
      <c r="K7" s="23" t="inlineStr">
        <is>
          <t>Functional</t>
        </is>
      </c>
      <c r="L7" s="23" t="inlineStr">
        <is>
          <t>Codex QA</t>
        </is>
      </c>
      <c r="M7" s="23" t="inlineStr">
        <is>
          <t>2026-07-20</t>
        </is>
      </c>
      <c r="N7" s="23" t="inlineStr">
        <is>
          <t>Designed from the implemented UI and service contract.</t>
        </is>
      </c>
    </row>
    <row r="8" ht="46" customHeight="1">
      <c r="A8" s="24" t="inlineStr">
        <is>
          <t>TRA-004</t>
        </is>
      </c>
      <c r="B8" s="24" t="inlineStr">
        <is>
          <t>Training Program Details</t>
        </is>
      </c>
      <c r="C8" s="24" t="inlineStr">
        <is>
          <t>Invalid program ID</t>
        </is>
      </c>
      <c r="D8" s="24" t="inlineStr">
        <is>
          <t>None</t>
        </is>
      </c>
      <c r="E8" s="24" t="inlineStr">
        <is>
          <t>Open /programs/999999</t>
        </is>
      </c>
      <c r="F8" s="24" t="inlineStr">
        <is>
          <t>See steps</t>
        </is>
      </c>
      <c r="G8" s="24" t="inlineStr">
        <is>
          <t>A friendly error is displayed without a broken screen.</t>
        </is>
      </c>
      <c r="H8" s="24" t="inlineStr">
        <is>
          <t>Not executed: requires isolated test data, credentials, or controlled API failure.</t>
        </is>
      </c>
      <c r="I8" s="24" t="inlineStr">
        <is>
          <t>Not Run</t>
        </is>
      </c>
      <c r="J8" s="24" t="inlineStr">
        <is>
          <t>Medium</t>
        </is>
      </c>
      <c r="K8" s="24" t="inlineStr">
        <is>
          <t>Functional</t>
        </is>
      </c>
      <c r="L8" s="24" t="inlineStr">
        <is>
          <t>Codex QA</t>
        </is>
      </c>
      <c r="M8" s="24" t="inlineStr">
        <is>
          <t>2026-07-20</t>
        </is>
      </c>
      <c r="N8" s="24" t="inlineStr">
        <is>
          <t>Designed from the implemented UI and service contract.</t>
        </is>
      </c>
    </row>
    <row r="9" ht="46" customHeight="1">
      <c r="A9" s="23" t="inlineStr">
        <is>
          <t>TRA-005</t>
        </is>
      </c>
      <c r="B9" s="23" t="inlineStr">
        <is>
          <t>Training Program Details</t>
        </is>
      </c>
      <c r="C9" s="23" t="inlineStr">
        <is>
          <t>Student search</t>
        </is>
      </c>
      <c r="D9" s="23" t="inlineStr">
        <is>
          <t>Program has students</t>
        </is>
      </c>
      <c r="E9" s="23" t="inlineStr">
        <is>
          <t>Enter a matching and non-matching student name on Students tab</t>
        </is>
      </c>
      <c r="F9" s="23" t="inlineStr">
        <is>
          <t>See steps</t>
        </is>
      </c>
      <c r="G9" s="23" t="inlineStr">
        <is>
          <t>Matches filter correctly; no-match state is clear.</t>
        </is>
      </c>
      <c r="H9" s="23" t="inlineStr">
        <is>
          <t>Not executed: requires isolated test data, credentials, or controlled API failure.</t>
        </is>
      </c>
      <c r="I9" s="23" t="inlineStr">
        <is>
          <t>Not Run</t>
        </is>
      </c>
      <c r="J9" s="23" t="inlineStr">
        <is>
          <t>Medium</t>
        </is>
      </c>
      <c r="K9" s="23" t="inlineStr">
        <is>
          <t>Functional</t>
        </is>
      </c>
      <c r="L9" s="23" t="inlineStr">
        <is>
          <t>Codex QA</t>
        </is>
      </c>
      <c r="M9" s="23" t="inlineStr">
        <is>
          <t>2026-07-20</t>
        </is>
      </c>
      <c r="N9" s="23" t="inlineStr">
        <is>
          <t>Designed from the implemented UI and service contract.</t>
        </is>
      </c>
    </row>
    <row r="10" ht="46" customHeight="1">
      <c r="A10" s="24" t="inlineStr">
        <is>
          <t>TRA-006</t>
        </is>
      </c>
      <c r="B10" s="24" t="inlineStr">
        <is>
          <t>Training Program Details</t>
        </is>
      </c>
      <c r="C10" s="24" t="inlineStr">
        <is>
          <t>Program navigation</t>
        </is>
      </c>
      <c r="D10" s="24" t="inlineStr">
        <is>
          <t>Valid program</t>
        </is>
      </c>
      <c r="E10" s="24" t="inlineStr">
        <is>
          <t>Switch Overview, Students, and Engineers tabs</t>
        </is>
      </c>
      <c r="F10" s="24" t="inlineStr">
        <is>
          <t>See steps</t>
        </is>
      </c>
      <c r="G10" s="24" t="inlineStr">
        <is>
          <t>Each tab retains the same program context.</t>
        </is>
      </c>
      <c r="H10" s="24" t="inlineStr">
        <is>
          <t>Not executed: requires isolated test data, credentials, or controlled API failure.</t>
        </is>
      </c>
      <c r="I10" s="24" t="inlineStr">
        <is>
          <t>Not Run</t>
        </is>
      </c>
      <c r="J10" s="24" t="inlineStr">
        <is>
          <t>Medium</t>
        </is>
      </c>
      <c r="K10" s="24" t="inlineStr">
        <is>
          <t>Functional</t>
        </is>
      </c>
      <c r="L10" s="24" t="inlineStr">
        <is>
          <t>Codex QA</t>
        </is>
      </c>
      <c r="M10" s="24" t="inlineStr">
        <is>
          <t>2026-07-20</t>
        </is>
      </c>
      <c r="N10" s="24" t="inlineStr">
        <is>
          <t>Designed from the implemented UI and service contract.</t>
        </is>
      </c>
    </row>
    <row r="11" ht="46" customHeight="1">
      <c r="A11" s="23" t="inlineStr">
        <is>
          <t>TRA-007</t>
        </is>
      </c>
      <c r="B11" s="23" t="inlineStr">
        <is>
          <t>Training Program Details</t>
        </is>
      </c>
      <c r="C11" s="23" t="inlineStr">
        <is>
          <t>Edit navigation</t>
        </is>
      </c>
      <c r="D11" s="23" t="inlineStr">
        <is>
          <t>Valid program</t>
        </is>
      </c>
      <c r="E11" s="23" t="inlineStr">
        <is>
          <t>Use Edit Program from each applicable tab</t>
        </is>
      </c>
      <c r="F11" s="23" t="inlineStr">
        <is>
          <t>See steps</t>
        </is>
      </c>
      <c r="G11" s="23" t="inlineStr">
        <is>
          <t>Routes to /edit-training-program/{id}.</t>
        </is>
      </c>
      <c r="H11" s="23" t="inlineStr">
        <is>
          <t>Not executed: requires isolated test data, credentials, or controlled API failure.</t>
        </is>
      </c>
      <c r="I11" s="23" t="inlineStr">
        <is>
          <t>Not Run</t>
        </is>
      </c>
      <c r="J11" s="23" t="inlineStr">
        <is>
          <t>Medium</t>
        </is>
      </c>
      <c r="K11" s="23" t="inlineStr">
        <is>
          <t>Functional</t>
        </is>
      </c>
      <c r="L11" s="23" t="inlineStr">
        <is>
          <t>Codex QA</t>
        </is>
      </c>
      <c r="M11" s="23" t="inlineStr">
        <is>
          <t>2026-07-20</t>
        </is>
      </c>
      <c r="N11" s="23" t="inlineStr">
        <is>
          <t>Designed from the implemented UI and service contract.</t>
        </is>
      </c>
    </row>
    <row r="12" ht="46" customHeight="1">
      <c r="A12" s="24" t="inlineStr">
        <is>
          <t>TRA-008</t>
        </is>
      </c>
      <c r="B12" s="24" t="inlineStr">
        <is>
          <t>Training Program Details</t>
        </is>
      </c>
      <c r="C12" s="24" t="inlineStr">
        <is>
          <t>Responsive layout</t>
        </is>
      </c>
      <c r="D12" s="24" t="inlineStr">
        <is>
          <t>Page is loaded</t>
        </is>
      </c>
      <c r="E12" s="24" t="inlineStr">
        <is>
          <t>Check 1440px, 768px and 375px viewports</t>
        </is>
      </c>
      <c r="F12" s="24" t="inlineStr">
        <is>
          <t>See steps</t>
        </is>
      </c>
      <c r="G12" s="24" t="inlineStr">
        <is>
          <t>Content remains visible and controls usable.</t>
        </is>
      </c>
      <c r="H12" s="24" t="inlineStr">
        <is>
          <t>Not executed: requires isolated test data, credentials, or controlled API failure.</t>
        </is>
      </c>
      <c r="I12" s="24" t="inlineStr">
        <is>
          <t>Not Run</t>
        </is>
      </c>
      <c r="J12" s="24" t="inlineStr">
        <is>
          <t>Medium</t>
        </is>
      </c>
      <c r="K12" s="24" t="inlineStr">
        <is>
          <t>Functional</t>
        </is>
      </c>
      <c r="L12" s="24" t="inlineStr">
        <is>
          <t>Codex QA</t>
        </is>
      </c>
      <c r="M12" s="24" t="inlineStr">
        <is>
          <t>2026-07-20</t>
        </is>
      </c>
      <c r="N12" s="24" t="inlineStr">
        <is>
          <t>Designed from the implemented UI and service contract.</t>
        </is>
      </c>
    </row>
  </sheetData>
  <autoFilter ref="A4:N12"/>
  <mergeCells count="2">
    <mergeCell ref="A2:N2"/>
    <mergeCell ref="A1:N1"/>
  </mergeCells>
  <conditionalFormatting sqref="I5:I12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"Not Run"</formula>
    </cfRule>
    <cfRule type="cellIs" priority="4" operator="equal" dxfId="3">
      <formula>"Blocked"</formula>
    </cfRule>
  </conditionalFormatting>
  <dataValidations count="1">
    <dataValidation sqref="I5:I12" showDropDown="0" showInputMessage="0" showErrorMessage="0" allowBlank="0" type="list">
      <formula1>"Passed,Failed,Blocked,Not Run"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28" customWidth="1" min="4" max="4"/>
    <col width="40" customWidth="1" min="5" max="5"/>
    <col width="22" customWidth="1" min="6" max="6"/>
    <col width="38" customWidth="1" min="7" max="7"/>
    <col width="38" customWidth="1" min="8" max="8"/>
    <col width="14" customWidth="1" min="9" max="9"/>
    <col width="12" customWidth="1" min="10" max="10"/>
    <col width="15" customWidth="1" min="11" max="11"/>
    <col width="16" customWidth="1" min="12" max="12"/>
    <col width="16" customWidth="1" min="13" max="13"/>
    <col width="30" customWidth="1" min="14" max="14"/>
  </cols>
  <sheetData>
    <row r="1" ht="38" customHeight="1">
      <c r="A1" s="1" t="inlineStr">
        <is>
          <t>Create Training Program</t>
        </is>
      </c>
    </row>
    <row r="2" ht="24" customHeight="1">
      <c r="A2" s="2" t="inlineStr">
        <is>
          <t>NTG Admin Module • QA test cases • Last updated: 2026-07-20</t>
        </is>
      </c>
    </row>
    <row r="4" ht="30" customHeight="1">
      <c r="A4" s="22" t="inlineStr">
        <is>
          <t>Test ID</t>
        </is>
      </c>
      <c r="B4" s="22" t="inlineStr">
        <is>
          <t>Feature</t>
        </is>
      </c>
      <c r="C4" s="22" t="inlineStr">
        <is>
          <t>Test Scenario</t>
        </is>
      </c>
      <c r="D4" s="22" t="inlineStr">
        <is>
          <t>Preconditions</t>
        </is>
      </c>
      <c r="E4" s="22" t="inlineStr">
        <is>
          <t>Test Steps</t>
        </is>
      </c>
      <c r="F4" s="22" t="inlineStr">
        <is>
          <t>Test Data</t>
        </is>
      </c>
      <c r="G4" s="22" t="inlineStr">
        <is>
          <t>Expected Result</t>
        </is>
      </c>
      <c r="H4" s="22" t="inlineStr">
        <is>
          <t>Actual Result</t>
        </is>
      </c>
      <c r="I4" s="22" t="inlineStr">
        <is>
          <t>Status</t>
        </is>
      </c>
      <c r="J4" s="22" t="inlineStr">
        <is>
          <t>Priority</t>
        </is>
      </c>
      <c r="K4" s="22" t="inlineStr">
        <is>
          <t>Test Type</t>
        </is>
      </c>
      <c r="L4" s="22" t="inlineStr">
        <is>
          <t>Tester</t>
        </is>
      </c>
      <c r="M4" s="22" t="inlineStr">
        <is>
          <t>Execution Date</t>
        </is>
      </c>
      <c r="N4" s="22" t="inlineStr">
        <is>
          <t>Notes</t>
        </is>
      </c>
    </row>
    <row r="5" ht="46" customHeight="1">
      <c r="A5" s="23" t="inlineStr">
        <is>
          <t>CRE-001</t>
        </is>
      </c>
      <c r="B5" s="23" t="inlineStr">
        <is>
          <t>Create Training Program</t>
        </is>
      </c>
      <c r="C5" s="23" t="inlineStr">
        <is>
          <t>Page load</t>
        </is>
      </c>
      <c r="D5" s="23" t="inlineStr">
        <is>
          <t>Development server is running</t>
        </is>
      </c>
      <c r="E5" s="23" t="inlineStr">
        <is>
          <t>Open Create Training Program</t>
        </is>
      </c>
      <c r="F5" s="23" t="inlineStr">
        <is>
          <t>See steps</t>
        </is>
      </c>
      <c r="G5" s="23" t="inlineStr">
        <is>
          <t>The page renders with its heading, sidebar and primary controls.</t>
        </is>
      </c>
      <c r="H5" s="23" t="inlineStr">
        <is>
          <t>Route and component are available through the local development server.</t>
        </is>
      </c>
      <c r="I5" s="23" t="inlineStr">
        <is>
          <t>Passed</t>
        </is>
      </c>
      <c r="J5" s="23" t="inlineStr">
        <is>
          <t>Medium</t>
        </is>
      </c>
      <c r="K5" s="23" t="inlineStr">
        <is>
          <t>Functional</t>
        </is>
      </c>
      <c r="L5" s="23" t="inlineStr">
        <is>
          <t>Codex QA</t>
        </is>
      </c>
      <c r="M5" s="23" t="inlineStr">
        <is>
          <t>2026-07-20</t>
        </is>
      </c>
      <c r="N5" s="23" t="inlineStr">
        <is>
          <t>Smoke-tested on localhost:4200; API-backed values depend on local API data.</t>
        </is>
      </c>
    </row>
    <row r="6" ht="46" customHeight="1">
      <c r="A6" s="24" t="inlineStr">
        <is>
          <t>CRE-002</t>
        </is>
      </c>
      <c r="B6" s="24" t="inlineStr">
        <is>
          <t>Create Training Program</t>
        </is>
      </c>
      <c r="C6" s="24" t="inlineStr">
        <is>
          <t>Required-field validation</t>
        </is>
      </c>
      <c r="D6" s="24" t="inlineStr">
        <is>
          <t>Page contains a form</t>
        </is>
      </c>
      <c r="E6" s="24" t="inlineStr">
        <is>
          <t>Submit the form with all mandatory fields blank</t>
        </is>
      </c>
      <c r="F6" s="24" t="inlineStr">
        <is>
          <t>See steps</t>
        </is>
      </c>
      <c r="G6" s="24" t="inlineStr">
        <is>
          <t>Submission is blocked and each required field is identified.</t>
        </is>
      </c>
      <c r="H6" s="24" t="inlineStr">
        <is>
          <t>Not executed: requires isolated test data, credentials, or controlled API failure.</t>
        </is>
      </c>
      <c r="I6" s="24" t="inlineStr">
        <is>
          <t>Not Run</t>
        </is>
      </c>
      <c r="J6" s="24" t="inlineStr">
        <is>
          <t>Medium</t>
        </is>
      </c>
      <c r="K6" s="24" t="inlineStr">
        <is>
          <t>Functional</t>
        </is>
      </c>
      <c r="L6" s="24" t="inlineStr">
        <is>
          <t>Codex QA</t>
        </is>
      </c>
      <c r="M6" s="24" t="inlineStr">
        <is>
          <t>2026-07-20</t>
        </is>
      </c>
      <c r="N6" s="24" t="inlineStr">
        <is>
          <t>Designed from the implemented UI and service contract.</t>
        </is>
      </c>
    </row>
    <row r="7" ht="46" customHeight="1">
      <c r="A7" s="23" t="inlineStr">
        <is>
          <t>CRE-003</t>
        </is>
      </c>
      <c r="B7" s="23" t="inlineStr">
        <is>
          <t>Create Training Program</t>
        </is>
      </c>
      <c r="C7" s="23" t="inlineStr">
        <is>
          <t>Valid submission</t>
        </is>
      </c>
      <c r="D7" s="23" t="inlineStr">
        <is>
          <t>Dedicated non-production test data is available</t>
        </is>
      </c>
      <c r="E7" s="23" t="inlineStr">
        <is>
          <t>Enter valid values and submit</t>
        </is>
      </c>
      <c r="F7" s="23" t="inlineStr">
        <is>
          <t>See steps</t>
        </is>
      </c>
      <c r="G7" s="23" t="inlineStr">
        <is>
          <t>A success message appears and data persists once only.</t>
        </is>
      </c>
      <c r="H7" s="23" t="inlineStr">
        <is>
          <t>Not executed: requires isolated test data, credentials, or controlled API failure.</t>
        </is>
      </c>
      <c r="I7" s="23" t="inlineStr">
        <is>
          <t>Not Run</t>
        </is>
      </c>
      <c r="J7" s="23" t="inlineStr">
        <is>
          <t>High</t>
        </is>
      </c>
      <c r="K7" s="23" t="inlineStr">
        <is>
          <t>Functional</t>
        </is>
      </c>
      <c r="L7" s="23" t="inlineStr">
        <is>
          <t>Codex QA</t>
        </is>
      </c>
      <c r="M7" s="23" t="inlineStr">
        <is>
          <t>2026-07-20</t>
        </is>
      </c>
      <c r="N7" s="23" t="inlineStr">
        <is>
          <t>Designed from the implemented UI and service contract.</t>
        </is>
      </c>
    </row>
    <row r="8" ht="46" customHeight="1">
      <c r="A8" s="24" t="inlineStr">
        <is>
          <t>CRE-004</t>
        </is>
      </c>
      <c r="B8" s="24" t="inlineStr">
        <is>
          <t>Create Training Program</t>
        </is>
      </c>
      <c r="C8" s="24" t="inlineStr">
        <is>
          <t>Invalid input</t>
        </is>
      </c>
      <c r="D8" s="24" t="inlineStr">
        <is>
          <t>Page is loaded</t>
        </is>
      </c>
      <c r="E8" s="24" t="inlineStr">
        <is>
          <t>Enter invalid format, boundary value, and long text</t>
        </is>
      </c>
      <c r="F8" s="24" t="inlineStr">
        <is>
          <t>See steps</t>
        </is>
      </c>
      <c r="G8" s="24" t="inlineStr">
        <is>
          <t>Invalid input is rejected with useful feedback and no request with bad data.</t>
        </is>
      </c>
      <c r="H8" s="24" t="inlineStr">
        <is>
          <t>Not executed: requires isolated test data, credentials, or controlled API failure.</t>
        </is>
      </c>
      <c r="I8" s="24" t="inlineStr">
        <is>
          <t>Not Run</t>
        </is>
      </c>
      <c r="J8" s="24" t="inlineStr">
        <is>
          <t>Medium</t>
        </is>
      </c>
      <c r="K8" s="24" t="inlineStr">
        <is>
          <t>Functional</t>
        </is>
      </c>
      <c r="L8" s="24" t="inlineStr">
        <is>
          <t>Codex QA</t>
        </is>
      </c>
      <c r="M8" s="24" t="inlineStr">
        <is>
          <t>2026-07-20</t>
        </is>
      </c>
      <c r="N8" s="24" t="inlineStr">
        <is>
          <t>Designed from the implemented UI and service contract.</t>
        </is>
      </c>
    </row>
    <row r="9" ht="46" customHeight="1">
      <c r="A9" s="23" t="inlineStr">
        <is>
          <t>CRE-005</t>
        </is>
      </c>
      <c r="B9" s="23" t="inlineStr">
        <is>
          <t>Create Training Program</t>
        </is>
      </c>
      <c r="C9" s="23" t="inlineStr">
        <is>
          <t>Back/cancel navigation</t>
        </is>
      </c>
      <c r="D9" s="23" t="inlineStr">
        <is>
          <t>Page is loaded</t>
        </is>
      </c>
      <c r="E9" s="23" t="inlineStr">
        <is>
          <t>Use Back or Cancel after entering changes</t>
        </is>
      </c>
      <c r="F9" s="23" t="inlineStr">
        <is>
          <t>See steps</t>
        </is>
      </c>
      <c r="G9" s="23" t="inlineStr">
        <is>
          <t>User returns to the expected page without unintended changes.</t>
        </is>
      </c>
      <c r="H9" s="23" t="inlineStr">
        <is>
          <t>Not executed: requires isolated test data, credentials, or controlled API failure.</t>
        </is>
      </c>
      <c r="I9" s="23" t="inlineStr">
        <is>
          <t>Not Run</t>
        </is>
      </c>
      <c r="J9" s="23" t="inlineStr">
        <is>
          <t>Medium</t>
        </is>
      </c>
      <c r="K9" s="23" t="inlineStr">
        <is>
          <t>Functional</t>
        </is>
      </c>
      <c r="L9" s="23" t="inlineStr">
        <is>
          <t>Codex QA</t>
        </is>
      </c>
      <c r="M9" s="23" t="inlineStr">
        <is>
          <t>2026-07-20</t>
        </is>
      </c>
      <c r="N9" s="23" t="inlineStr">
        <is>
          <t>Designed from the implemented UI and service contract.</t>
        </is>
      </c>
    </row>
    <row r="10" ht="46" customHeight="1">
      <c r="A10" s="24" t="inlineStr">
        <is>
          <t>CRE-006</t>
        </is>
      </c>
      <c r="B10" s="24" t="inlineStr">
        <is>
          <t>Create Training Program</t>
        </is>
      </c>
      <c r="C10" s="24" t="inlineStr">
        <is>
          <t>API failure</t>
        </is>
      </c>
      <c r="D10" s="24" t="inlineStr">
        <is>
          <t>Network mocking or a test API is available</t>
        </is>
      </c>
      <c r="E10" s="24" t="inlineStr">
        <is>
          <t>Simulate an API 4xx/5xx response</t>
        </is>
      </c>
      <c r="F10" s="24" t="inlineStr">
        <is>
          <t>See steps</t>
        </is>
      </c>
      <c r="G10" s="24" t="inlineStr">
        <is>
          <t>A readable error is shown; the UI remains usable.</t>
        </is>
      </c>
      <c r="H10" s="24" t="inlineStr">
        <is>
          <t>Not executed: requires isolated test data, credentials, or controlled API failure.</t>
        </is>
      </c>
      <c r="I10" s="24" t="inlineStr">
        <is>
          <t>Not Run</t>
        </is>
      </c>
      <c r="J10" s="24" t="inlineStr">
        <is>
          <t>Medium</t>
        </is>
      </c>
      <c r="K10" s="24" t="inlineStr">
        <is>
          <t>Functional</t>
        </is>
      </c>
      <c r="L10" s="24" t="inlineStr">
        <is>
          <t>Codex QA</t>
        </is>
      </c>
      <c r="M10" s="24" t="inlineStr">
        <is>
          <t>2026-07-20</t>
        </is>
      </c>
      <c r="N10" s="24" t="inlineStr">
        <is>
          <t>Designed from the implemented UI and service contract.</t>
        </is>
      </c>
    </row>
    <row r="11" ht="46" customHeight="1">
      <c r="A11" s="23" t="inlineStr">
        <is>
          <t>CRE-007</t>
        </is>
      </c>
      <c r="B11" s="23" t="inlineStr">
        <is>
          <t>Create Training Program</t>
        </is>
      </c>
      <c r="C11" s="23" t="inlineStr">
        <is>
          <t>Authorization</t>
        </is>
      </c>
      <c r="D11" s="23" t="inlineStr">
        <is>
          <t>No authenticated session</t>
        </is>
      </c>
      <c r="E11" s="23" t="inlineStr">
        <is>
          <t>Open the page in a fresh browser session without a token</t>
        </is>
      </c>
      <c r="F11" s="23" t="inlineStr">
        <is>
          <t>See steps</t>
        </is>
      </c>
      <c r="G11" s="23" t="inlineStr">
        <is>
          <t>User is redirected to login and protected data is not exposed.</t>
        </is>
      </c>
      <c r="H11" s="23" t="inlineStr">
        <is>
          <t>Direct access is allowed without a client-side guard; protected route is rendered.</t>
        </is>
      </c>
      <c r="I11" s="23" t="inlineStr">
        <is>
          <t>Failed</t>
        </is>
      </c>
      <c r="J11" s="23" t="inlineStr">
        <is>
          <t>High</t>
        </is>
      </c>
      <c r="K11" s="23" t="inlineStr">
        <is>
          <t>Functional</t>
        </is>
      </c>
      <c r="L11" s="23" t="inlineStr">
        <is>
          <t>Codex QA</t>
        </is>
      </c>
      <c r="M11" s="23" t="inlineStr">
        <is>
          <t>2026-07-20</t>
        </is>
      </c>
      <c r="N11" s="23" t="inlineStr">
        <is>
          <t>Logged in Bug Report as QA-SEC-001.</t>
        </is>
      </c>
    </row>
    <row r="12" ht="46" customHeight="1">
      <c r="A12" s="24" t="inlineStr">
        <is>
          <t>CRE-008</t>
        </is>
      </c>
      <c r="B12" s="24" t="inlineStr">
        <is>
          <t>Create Training Program</t>
        </is>
      </c>
      <c r="C12" s="24" t="inlineStr">
        <is>
          <t>Responsive/accessibility</t>
        </is>
      </c>
      <c r="D12" s="24" t="inlineStr">
        <is>
          <t>Page is loaded</t>
        </is>
      </c>
      <c r="E12" s="24" t="inlineStr">
        <is>
          <t>Check keyboard navigation and desktop/tablet/mobile widths</t>
        </is>
      </c>
      <c r="F12" s="24" t="inlineStr">
        <is>
          <t>See steps</t>
        </is>
      </c>
      <c r="G12" s="24" t="inlineStr">
        <is>
          <t>Labels, focus order, contrast and layout remain usable.</t>
        </is>
      </c>
      <c r="H12" s="24" t="inlineStr">
        <is>
          <t>Not executed: requires isolated test data, credentials, or controlled API failure.</t>
        </is>
      </c>
      <c r="I12" s="24" t="inlineStr">
        <is>
          <t>Not Run</t>
        </is>
      </c>
      <c r="J12" s="24" t="inlineStr">
        <is>
          <t>Medium</t>
        </is>
      </c>
      <c r="K12" s="24" t="inlineStr">
        <is>
          <t>Functional</t>
        </is>
      </c>
      <c r="L12" s="24" t="inlineStr">
        <is>
          <t>Codex QA</t>
        </is>
      </c>
      <c r="M12" s="24" t="inlineStr">
        <is>
          <t>2026-07-20</t>
        </is>
      </c>
      <c r="N12" s="24" t="inlineStr">
        <is>
          <t>Designed from the implemented UI and service contract.</t>
        </is>
      </c>
    </row>
  </sheetData>
  <autoFilter ref="A4:N12"/>
  <mergeCells count="2">
    <mergeCell ref="A2:N2"/>
    <mergeCell ref="A1:N1"/>
  </mergeCells>
  <conditionalFormatting sqref="I5:I12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"Not Run"</formula>
    </cfRule>
    <cfRule type="cellIs" priority="4" operator="equal" dxfId="3">
      <formula>"Blocked"</formula>
    </cfRule>
  </conditionalFormatting>
  <dataValidations count="1">
    <dataValidation sqref="I5:I12" showDropDown="0" showInputMessage="0" showErrorMessage="0" allowBlank="0" type="list">
      <formula1>"Passed,Failed,Blocked,Not Run"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28" customWidth="1" min="4" max="4"/>
    <col width="40" customWidth="1" min="5" max="5"/>
    <col width="22" customWidth="1" min="6" max="6"/>
    <col width="38" customWidth="1" min="7" max="7"/>
    <col width="38" customWidth="1" min="8" max="8"/>
    <col width="14" customWidth="1" min="9" max="9"/>
    <col width="12" customWidth="1" min="10" max="10"/>
    <col width="15" customWidth="1" min="11" max="11"/>
    <col width="16" customWidth="1" min="12" max="12"/>
    <col width="16" customWidth="1" min="13" max="13"/>
    <col width="30" customWidth="1" min="14" max="14"/>
  </cols>
  <sheetData>
    <row r="1" ht="38" customHeight="1">
      <c r="A1" s="1" t="inlineStr">
        <is>
          <t>Subjects</t>
        </is>
      </c>
    </row>
    <row r="2" ht="24" customHeight="1">
      <c r="A2" s="2" t="inlineStr">
        <is>
          <t>NTG Admin Module • QA test cases • Last updated: 2026-07-20</t>
        </is>
      </c>
    </row>
    <row r="4" ht="30" customHeight="1">
      <c r="A4" s="22" t="inlineStr">
        <is>
          <t>Test ID</t>
        </is>
      </c>
      <c r="B4" s="22" t="inlineStr">
        <is>
          <t>Feature</t>
        </is>
      </c>
      <c r="C4" s="22" t="inlineStr">
        <is>
          <t>Test Scenario</t>
        </is>
      </c>
      <c r="D4" s="22" t="inlineStr">
        <is>
          <t>Preconditions</t>
        </is>
      </c>
      <c r="E4" s="22" t="inlineStr">
        <is>
          <t>Test Steps</t>
        </is>
      </c>
      <c r="F4" s="22" t="inlineStr">
        <is>
          <t>Test Data</t>
        </is>
      </c>
      <c r="G4" s="22" t="inlineStr">
        <is>
          <t>Expected Result</t>
        </is>
      </c>
      <c r="H4" s="22" t="inlineStr">
        <is>
          <t>Actual Result</t>
        </is>
      </c>
      <c r="I4" s="22" t="inlineStr">
        <is>
          <t>Status</t>
        </is>
      </c>
      <c r="J4" s="22" t="inlineStr">
        <is>
          <t>Priority</t>
        </is>
      </c>
      <c r="K4" s="22" t="inlineStr">
        <is>
          <t>Test Type</t>
        </is>
      </c>
      <c r="L4" s="22" t="inlineStr">
        <is>
          <t>Tester</t>
        </is>
      </c>
      <c r="M4" s="22" t="inlineStr">
        <is>
          <t>Execution Date</t>
        </is>
      </c>
      <c r="N4" s="22" t="inlineStr">
        <is>
          <t>Notes</t>
        </is>
      </c>
    </row>
    <row r="5" ht="46" customHeight="1">
      <c r="A5" s="23" t="inlineStr">
        <is>
          <t>SUB-001</t>
        </is>
      </c>
      <c r="B5" s="23" t="inlineStr">
        <is>
          <t>Subjects</t>
        </is>
      </c>
      <c r="C5" s="23" t="inlineStr">
        <is>
          <t>Page load</t>
        </is>
      </c>
      <c r="D5" s="23" t="inlineStr">
        <is>
          <t>Development server is running</t>
        </is>
      </c>
      <c r="E5" s="23" t="inlineStr">
        <is>
          <t>Open Subjects List</t>
        </is>
      </c>
      <c r="F5" s="23" t="inlineStr">
        <is>
          <t>See steps</t>
        </is>
      </c>
      <c r="G5" s="23" t="inlineStr">
        <is>
          <t>The page renders with its heading, sidebar and primary controls.</t>
        </is>
      </c>
      <c r="H5" s="23" t="inlineStr">
        <is>
          <t>Route and component are available through the local development server.</t>
        </is>
      </c>
      <c r="I5" s="23" t="inlineStr">
        <is>
          <t>Passed</t>
        </is>
      </c>
      <c r="J5" s="23" t="inlineStr">
        <is>
          <t>Medium</t>
        </is>
      </c>
      <c r="K5" s="23" t="inlineStr">
        <is>
          <t>Functional</t>
        </is>
      </c>
      <c r="L5" s="23" t="inlineStr">
        <is>
          <t>Codex QA</t>
        </is>
      </c>
      <c r="M5" s="23" t="inlineStr">
        <is>
          <t>2026-07-20</t>
        </is>
      </c>
      <c r="N5" s="23" t="inlineStr">
        <is>
          <t>Smoke-tested on localhost:4200; API-backed values depend on local API data.</t>
        </is>
      </c>
    </row>
    <row r="6" ht="46" customHeight="1">
      <c r="A6" s="24" t="inlineStr">
        <is>
          <t>SUB-002</t>
        </is>
      </c>
      <c r="B6" s="24" t="inlineStr">
        <is>
          <t>Subjects</t>
        </is>
      </c>
      <c r="C6" s="24" t="inlineStr">
        <is>
          <t>Required-field validation</t>
        </is>
      </c>
      <c r="D6" s="24" t="inlineStr">
        <is>
          <t>Page contains a form</t>
        </is>
      </c>
      <c r="E6" s="24" t="inlineStr">
        <is>
          <t>Submit the form with all mandatory fields blank</t>
        </is>
      </c>
      <c r="F6" s="24" t="inlineStr">
        <is>
          <t>See steps</t>
        </is>
      </c>
      <c r="G6" s="24" t="inlineStr">
        <is>
          <t>Submission is blocked and each required field is identified.</t>
        </is>
      </c>
      <c r="H6" s="24" t="inlineStr">
        <is>
          <t>Not executed: requires isolated test data, credentials, or controlled API failure.</t>
        </is>
      </c>
      <c r="I6" s="24" t="inlineStr">
        <is>
          <t>Not Run</t>
        </is>
      </c>
      <c r="J6" s="24" t="inlineStr">
        <is>
          <t>Medium</t>
        </is>
      </c>
      <c r="K6" s="24" t="inlineStr">
        <is>
          <t>Functional</t>
        </is>
      </c>
      <c r="L6" s="24" t="inlineStr">
        <is>
          <t>Codex QA</t>
        </is>
      </c>
      <c r="M6" s="24" t="inlineStr">
        <is>
          <t>2026-07-20</t>
        </is>
      </c>
      <c r="N6" s="24" t="inlineStr">
        <is>
          <t>Designed from the implemented UI and service contract.</t>
        </is>
      </c>
    </row>
    <row r="7" ht="46" customHeight="1">
      <c r="A7" s="23" t="inlineStr">
        <is>
          <t>SUB-003</t>
        </is>
      </c>
      <c r="B7" s="23" t="inlineStr">
        <is>
          <t>Subjects</t>
        </is>
      </c>
      <c r="C7" s="23" t="inlineStr">
        <is>
          <t>Valid submission</t>
        </is>
      </c>
      <c r="D7" s="23" t="inlineStr">
        <is>
          <t>Dedicated non-production test data is available</t>
        </is>
      </c>
      <c r="E7" s="23" t="inlineStr">
        <is>
          <t>Enter valid values and submit</t>
        </is>
      </c>
      <c r="F7" s="23" t="inlineStr">
        <is>
          <t>See steps</t>
        </is>
      </c>
      <c r="G7" s="23" t="inlineStr">
        <is>
          <t>A success message appears and data persists once only.</t>
        </is>
      </c>
      <c r="H7" s="23" t="inlineStr">
        <is>
          <t>Not executed: requires isolated test data, credentials, or controlled API failure.</t>
        </is>
      </c>
      <c r="I7" s="23" t="inlineStr">
        <is>
          <t>Not Run</t>
        </is>
      </c>
      <c r="J7" s="23" t="inlineStr">
        <is>
          <t>High</t>
        </is>
      </c>
      <c r="K7" s="23" t="inlineStr">
        <is>
          <t>Functional</t>
        </is>
      </c>
      <c r="L7" s="23" t="inlineStr">
        <is>
          <t>Codex QA</t>
        </is>
      </c>
      <c r="M7" s="23" t="inlineStr">
        <is>
          <t>2026-07-20</t>
        </is>
      </c>
      <c r="N7" s="23" t="inlineStr">
        <is>
          <t>Designed from the implemented UI and service contract.</t>
        </is>
      </c>
    </row>
    <row r="8" ht="46" customHeight="1">
      <c r="A8" s="24" t="inlineStr">
        <is>
          <t>SUB-004</t>
        </is>
      </c>
      <c r="B8" s="24" t="inlineStr">
        <is>
          <t>Subjects</t>
        </is>
      </c>
      <c r="C8" s="24" t="inlineStr">
        <is>
          <t>Invalid input</t>
        </is>
      </c>
      <c r="D8" s="24" t="inlineStr">
        <is>
          <t>Page is loaded</t>
        </is>
      </c>
      <c r="E8" s="24" t="inlineStr">
        <is>
          <t>Enter invalid format, boundary value, and long text</t>
        </is>
      </c>
      <c r="F8" s="24" t="inlineStr">
        <is>
          <t>See steps</t>
        </is>
      </c>
      <c r="G8" s="24" t="inlineStr">
        <is>
          <t>Invalid input is rejected with useful feedback and no request with bad data.</t>
        </is>
      </c>
      <c r="H8" s="24" t="inlineStr">
        <is>
          <t>Not executed: requires isolated test data, credentials, or controlled API failure.</t>
        </is>
      </c>
      <c r="I8" s="24" t="inlineStr">
        <is>
          <t>Not Run</t>
        </is>
      </c>
      <c r="J8" s="24" t="inlineStr">
        <is>
          <t>Medium</t>
        </is>
      </c>
      <c r="K8" s="24" t="inlineStr">
        <is>
          <t>Functional</t>
        </is>
      </c>
      <c r="L8" s="24" t="inlineStr">
        <is>
          <t>Codex QA</t>
        </is>
      </c>
      <c r="M8" s="24" t="inlineStr">
        <is>
          <t>2026-07-20</t>
        </is>
      </c>
      <c r="N8" s="24" t="inlineStr">
        <is>
          <t>Designed from the implemented UI and service contract.</t>
        </is>
      </c>
    </row>
    <row r="9" ht="46" customHeight="1">
      <c r="A9" s="23" t="inlineStr">
        <is>
          <t>SUB-005</t>
        </is>
      </c>
      <c r="B9" s="23" t="inlineStr">
        <is>
          <t>Subjects</t>
        </is>
      </c>
      <c r="C9" s="23" t="inlineStr">
        <is>
          <t>Back/cancel navigation</t>
        </is>
      </c>
      <c r="D9" s="23" t="inlineStr">
        <is>
          <t>Page is loaded</t>
        </is>
      </c>
      <c r="E9" s="23" t="inlineStr">
        <is>
          <t>Use Back or Cancel after entering changes</t>
        </is>
      </c>
      <c r="F9" s="23" t="inlineStr">
        <is>
          <t>See steps</t>
        </is>
      </c>
      <c r="G9" s="23" t="inlineStr">
        <is>
          <t>User returns to the expected page without unintended changes.</t>
        </is>
      </c>
      <c r="H9" s="23" t="inlineStr">
        <is>
          <t>Not executed: requires isolated test data, credentials, or controlled API failure.</t>
        </is>
      </c>
      <c r="I9" s="23" t="inlineStr">
        <is>
          <t>Not Run</t>
        </is>
      </c>
      <c r="J9" s="23" t="inlineStr">
        <is>
          <t>Medium</t>
        </is>
      </c>
      <c r="K9" s="23" t="inlineStr">
        <is>
          <t>Functional</t>
        </is>
      </c>
      <c r="L9" s="23" t="inlineStr">
        <is>
          <t>Codex QA</t>
        </is>
      </c>
      <c r="M9" s="23" t="inlineStr">
        <is>
          <t>2026-07-20</t>
        </is>
      </c>
      <c r="N9" s="23" t="inlineStr">
        <is>
          <t>Designed from the implemented UI and service contract.</t>
        </is>
      </c>
    </row>
    <row r="10" ht="46" customHeight="1">
      <c r="A10" s="24" t="inlineStr">
        <is>
          <t>SUB-006</t>
        </is>
      </c>
      <c r="B10" s="24" t="inlineStr">
        <is>
          <t>Subjects</t>
        </is>
      </c>
      <c r="C10" s="24" t="inlineStr">
        <is>
          <t>API failure</t>
        </is>
      </c>
      <c r="D10" s="24" t="inlineStr">
        <is>
          <t>Network mocking or a test API is available</t>
        </is>
      </c>
      <c r="E10" s="24" t="inlineStr">
        <is>
          <t>Simulate an API 4xx/5xx response</t>
        </is>
      </c>
      <c r="F10" s="24" t="inlineStr">
        <is>
          <t>See steps</t>
        </is>
      </c>
      <c r="G10" s="24" t="inlineStr">
        <is>
          <t>A readable error is shown; the UI remains usable.</t>
        </is>
      </c>
      <c r="H10" s="24" t="inlineStr">
        <is>
          <t>Not executed: requires isolated test data, credentials, or controlled API failure.</t>
        </is>
      </c>
      <c r="I10" s="24" t="inlineStr">
        <is>
          <t>Not Run</t>
        </is>
      </c>
      <c r="J10" s="24" t="inlineStr">
        <is>
          <t>Medium</t>
        </is>
      </c>
      <c r="K10" s="24" t="inlineStr">
        <is>
          <t>Functional</t>
        </is>
      </c>
      <c r="L10" s="24" t="inlineStr">
        <is>
          <t>Codex QA</t>
        </is>
      </c>
      <c r="M10" s="24" t="inlineStr">
        <is>
          <t>2026-07-20</t>
        </is>
      </c>
      <c r="N10" s="24" t="inlineStr">
        <is>
          <t>Designed from the implemented UI and service contract.</t>
        </is>
      </c>
    </row>
    <row r="11" ht="46" customHeight="1">
      <c r="A11" s="23" t="inlineStr">
        <is>
          <t>SUB-007</t>
        </is>
      </c>
      <c r="B11" s="23" t="inlineStr">
        <is>
          <t>Subjects</t>
        </is>
      </c>
      <c r="C11" s="23" t="inlineStr">
        <is>
          <t>Authorization</t>
        </is>
      </c>
      <c r="D11" s="23" t="inlineStr">
        <is>
          <t>No authenticated session</t>
        </is>
      </c>
      <c r="E11" s="23" t="inlineStr">
        <is>
          <t>Open the page in a fresh browser session without a token</t>
        </is>
      </c>
      <c r="F11" s="23" t="inlineStr">
        <is>
          <t>See steps</t>
        </is>
      </c>
      <c r="G11" s="23" t="inlineStr">
        <is>
          <t>User is redirected to login and protected data is not exposed.</t>
        </is>
      </c>
      <c r="H11" s="23" t="inlineStr">
        <is>
          <t>Direct access is allowed without a client-side guard; protected route is rendered.</t>
        </is>
      </c>
      <c r="I11" s="23" t="inlineStr">
        <is>
          <t>Failed</t>
        </is>
      </c>
      <c r="J11" s="23" t="inlineStr">
        <is>
          <t>High</t>
        </is>
      </c>
      <c r="K11" s="23" t="inlineStr">
        <is>
          <t>Functional</t>
        </is>
      </c>
      <c r="L11" s="23" t="inlineStr">
        <is>
          <t>Codex QA</t>
        </is>
      </c>
      <c r="M11" s="23" t="inlineStr">
        <is>
          <t>2026-07-20</t>
        </is>
      </c>
      <c r="N11" s="23" t="inlineStr">
        <is>
          <t>Logged in Bug Report as QA-SEC-001.</t>
        </is>
      </c>
    </row>
    <row r="12" ht="46" customHeight="1">
      <c r="A12" s="24" t="inlineStr">
        <is>
          <t>SUB-008</t>
        </is>
      </c>
      <c r="B12" s="24" t="inlineStr">
        <is>
          <t>Subjects</t>
        </is>
      </c>
      <c r="C12" s="24" t="inlineStr">
        <is>
          <t>Responsive/accessibility</t>
        </is>
      </c>
      <c r="D12" s="24" t="inlineStr">
        <is>
          <t>Page is loaded</t>
        </is>
      </c>
      <c r="E12" s="24" t="inlineStr">
        <is>
          <t>Check keyboard navigation and desktop/tablet/mobile widths</t>
        </is>
      </c>
      <c r="F12" s="24" t="inlineStr">
        <is>
          <t>See steps</t>
        </is>
      </c>
      <c r="G12" s="24" t="inlineStr">
        <is>
          <t>Labels, focus order, contrast and layout remain usable.</t>
        </is>
      </c>
      <c r="H12" s="24" t="inlineStr">
        <is>
          <t>Not executed: requires isolated test data, credentials, or controlled API failure.</t>
        </is>
      </c>
      <c r="I12" s="24" t="inlineStr">
        <is>
          <t>Not Run</t>
        </is>
      </c>
      <c r="J12" s="24" t="inlineStr">
        <is>
          <t>Medium</t>
        </is>
      </c>
      <c r="K12" s="24" t="inlineStr">
        <is>
          <t>Functional</t>
        </is>
      </c>
      <c r="L12" s="24" t="inlineStr">
        <is>
          <t>Codex QA</t>
        </is>
      </c>
      <c r="M12" s="24" t="inlineStr">
        <is>
          <t>2026-07-20</t>
        </is>
      </c>
      <c r="N12" s="24" t="inlineStr">
        <is>
          <t>Designed from the implemented UI and service contract.</t>
        </is>
      </c>
    </row>
  </sheetData>
  <autoFilter ref="A4:N12"/>
  <mergeCells count="2">
    <mergeCell ref="A2:N2"/>
    <mergeCell ref="A1:N1"/>
  </mergeCells>
  <conditionalFormatting sqref="I5:I12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"Not Run"</formula>
    </cfRule>
    <cfRule type="cellIs" priority="4" operator="equal" dxfId="3">
      <formula>"Blocked"</formula>
    </cfRule>
  </conditionalFormatting>
  <dataValidations count="1">
    <dataValidation sqref="I5:I12" showDropDown="0" showInputMessage="0" showErrorMessage="0" allowBlank="0" type="list">
      <formula1>"Passed,Failed,Blocked,Not Run"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28" customWidth="1" min="4" max="4"/>
    <col width="40" customWidth="1" min="5" max="5"/>
    <col width="22" customWidth="1" min="6" max="6"/>
    <col width="38" customWidth="1" min="7" max="7"/>
    <col width="38" customWidth="1" min="8" max="8"/>
    <col width="14" customWidth="1" min="9" max="9"/>
    <col width="12" customWidth="1" min="10" max="10"/>
    <col width="15" customWidth="1" min="11" max="11"/>
    <col width="16" customWidth="1" min="12" max="12"/>
    <col width="16" customWidth="1" min="13" max="13"/>
    <col width="30" customWidth="1" min="14" max="14"/>
  </cols>
  <sheetData>
    <row r="1" ht="38" customHeight="1">
      <c r="A1" s="1" t="inlineStr">
        <is>
          <t>Edit Subject</t>
        </is>
      </c>
    </row>
    <row r="2" ht="24" customHeight="1">
      <c r="A2" s="2" t="inlineStr">
        <is>
          <t>NTG Admin Module • QA test cases • Last updated: 2026-07-20</t>
        </is>
      </c>
    </row>
    <row r="4" ht="30" customHeight="1">
      <c r="A4" s="22" t="inlineStr">
        <is>
          <t>Test ID</t>
        </is>
      </c>
      <c r="B4" s="22" t="inlineStr">
        <is>
          <t>Feature</t>
        </is>
      </c>
      <c r="C4" s="22" t="inlineStr">
        <is>
          <t>Test Scenario</t>
        </is>
      </c>
      <c r="D4" s="22" t="inlineStr">
        <is>
          <t>Preconditions</t>
        </is>
      </c>
      <c r="E4" s="22" t="inlineStr">
        <is>
          <t>Test Steps</t>
        </is>
      </c>
      <c r="F4" s="22" t="inlineStr">
        <is>
          <t>Test Data</t>
        </is>
      </c>
      <c r="G4" s="22" t="inlineStr">
        <is>
          <t>Expected Result</t>
        </is>
      </c>
      <c r="H4" s="22" t="inlineStr">
        <is>
          <t>Actual Result</t>
        </is>
      </c>
      <c r="I4" s="22" t="inlineStr">
        <is>
          <t>Status</t>
        </is>
      </c>
      <c r="J4" s="22" t="inlineStr">
        <is>
          <t>Priority</t>
        </is>
      </c>
      <c r="K4" s="22" t="inlineStr">
        <is>
          <t>Test Type</t>
        </is>
      </c>
      <c r="L4" s="22" t="inlineStr">
        <is>
          <t>Tester</t>
        </is>
      </c>
      <c r="M4" s="22" t="inlineStr">
        <is>
          <t>Execution Date</t>
        </is>
      </c>
      <c r="N4" s="22" t="inlineStr">
        <is>
          <t>Notes</t>
        </is>
      </c>
    </row>
    <row r="5" ht="46" customHeight="1">
      <c r="A5" s="23" t="inlineStr">
        <is>
          <t>EDI-001</t>
        </is>
      </c>
      <c r="B5" s="23" t="inlineStr">
        <is>
          <t>Edit Subject</t>
        </is>
      </c>
      <c r="C5" s="23" t="inlineStr">
        <is>
          <t>Page load</t>
        </is>
      </c>
      <c r="D5" s="23" t="inlineStr">
        <is>
          <t>Development server is running</t>
        </is>
      </c>
      <c r="E5" s="23" t="inlineStr">
        <is>
          <t>Open Edit Subject</t>
        </is>
      </c>
      <c r="F5" s="23" t="inlineStr">
        <is>
          <t>See steps</t>
        </is>
      </c>
      <c r="G5" s="23" t="inlineStr">
        <is>
          <t>The page renders with its heading, sidebar and primary controls.</t>
        </is>
      </c>
      <c r="H5" s="23" t="inlineStr">
        <is>
          <t>Route and component are available through the local development server.</t>
        </is>
      </c>
      <c r="I5" s="23" t="inlineStr">
        <is>
          <t>Passed</t>
        </is>
      </c>
      <c r="J5" s="23" t="inlineStr">
        <is>
          <t>Medium</t>
        </is>
      </c>
      <c r="K5" s="23" t="inlineStr">
        <is>
          <t>Functional</t>
        </is>
      </c>
      <c r="L5" s="23" t="inlineStr">
        <is>
          <t>Codex QA</t>
        </is>
      </c>
      <c r="M5" s="23" t="inlineStr">
        <is>
          <t>2026-07-20</t>
        </is>
      </c>
      <c r="N5" s="23" t="inlineStr">
        <is>
          <t>Smoke-tested on localhost:4200; API-backed values depend on local API data.</t>
        </is>
      </c>
    </row>
    <row r="6" ht="46" customHeight="1">
      <c r="A6" s="24" t="inlineStr">
        <is>
          <t>EDI-002</t>
        </is>
      </c>
      <c r="B6" s="24" t="inlineStr">
        <is>
          <t>Edit Subject</t>
        </is>
      </c>
      <c r="C6" s="24" t="inlineStr">
        <is>
          <t>Required-field validation</t>
        </is>
      </c>
      <c r="D6" s="24" t="inlineStr">
        <is>
          <t>Page contains a form</t>
        </is>
      </c>
      <c r="E6" s="24" t="inlineStr">
        <is>
          <t>Submit the form with all mandatory fields blank</t>
        </is>
      </c>
      <c r="F6" s="24" t="inlineStr">
        <is>
          <t>See steps</t>
        </is>
      </c>
      <c r="G6" s="24" t="inlineStr">
        <is>
          <t>Submission is blocked and each required field is identified.</t>
        </is>
      </c>
      <c r="H6" s="24" t="inlineStr">
        <is>
          <t>Not executed: requires isolated test data, credentials, or controlled API failure.</t>
        </is>
      </c>
      <c r="I6" s="24" t="inlineStr">
        <is>
          <t>Not Run</t>
        </is>
      </c>
      <c r="J6" s="24" t="inlineStr">
        <is>
          <t>Medium</t>
        </is>
      </c>
      <c r="K6" s="24" t="inlineStr">
        <is>
          <t>Functional</t>
        </is>
      </c>
      <c r="L6" s="24" t="inlineStr">
        <is>
          <t>Codex QA</t>
        </is>
      </c>
      <c r="M6" s="24" t="inlineStr">
        <is>
          <t>2026-07-20</t>
        </is>
      </c>
      <c r="N6" s="24" t="inlineStr">
        <is>
          <t>Designed from the implemented UI and service contract.</t>
        </is>
      </c>
    </row>
    <row r="7" ht="46" customHeight="1">
      <c r="A7" s="23" t="inlineStr">
        <is>
          <t>EDI-003</t>
        </is>
      </c>
      <c r="B7" s="23" t="inlineStr">
        <is>
          <t>Edit Subject</t>
        </is>
      </c>
      <c r="C7" s="23" t="inlineStr">
        <is>
          <t>Valid submission</t>
        </is>
      </c>
      <c r="D7" s="23" t="inlineStr">
        <is>
          <t>Dedicated non-production test data is available</t>
        </is>
      </c>
      <c r="E7" s="23" t="inlineStr">
        <is>
          <t>Enter valid values and submit</t>
        </is>
      </c>
      <c r="F7" s="23" t="inlineStr">
        <is>
          <t>See steps</t>
        </is>
      </c>
      <c r="G7" s="23" t="inlineStr">
        <is>
          <t>A success message appears and data persists once only.</t>
        </is>
      </c>
      <c r="H7" s="23" t="inlineStr">
        <is>
          <t>Not executed: requires isolated test data, credentials, or controlled API failure.</t>
        </is>
      </c>
      <c r="I7" s="23" t="inlineStr">
        <is>
          <t>Not Run</t>
        </is>
      </c>
      <c r="J7" s="23" t="inlineStr">
        <is>
          <t>High</t>
        </is>
      </c>
      <c r="K7" s="23" t="inlineStr">
        <is>
          <t>Functional</t>
        </is>
      </c>
      <c r="L7" s="23" t="inlineStr">
        <is>
          <t>Codex QA</t>
        </is>
      </c>
      <c r="M7" s="23" t="inlineStr">
        <is>
          <t>2026-07-20</t>
        </is>
      </c>
      <c r="N7" s="23" t="inlineStr">
        <is>
          <t>Designed from the implemented UI and service contract.</t>
        </is>
      </c>
    </row>
    <row r="8" ht="46" customHeight="1">
      <c r="A8" s="24" t="inlineStr">
        <is>
          <t>EDI-004</t>
        </is>
      </c>
      <c r="B8" s="24" t="inlineStr">
        <is>
          <t>Edit Subject</t>
        </is>
      </c>
      <c r="C8" s="24" t="inlineStr">
        <is>
          <t>Invalid input</t>
        </is>
      </c>
      <c r="D8" s="24" t="inlineStr">
        <is>
          <t>Page is loaded</t>
        </is>
      </c>
      <c r="E8" s="24" t="inlineStr">
        <is>
          <t>Enter invalid format, boundary value, and long text</t>
        </is>
      </c>
      <c r="F8" s="24" t="inlineStr">
        <is>
          <t>See steps</t>
        </is>
      </c>
      <c r="G8" s="24" t="inlineStr">
        <is>
          <t>Invalid input is rejected with useful feedback and no request with bad data.</t>
        </is>
      </c>
      <c r="H8" s="24" t="inlineStr">
        <is>
          <t>Not executed: requires isolated test data, credentials, or controlled API failure.</t>
        </is>
      </c>
      <c r="I8" s="24" t="inlineStr">
        <is>
          <t>Not Run</t>
        </is>
      </c>
      <c r="J8" s="24" t="inlineStr">
        <is>
          <t>Medium</t>
        </is>
      </c>
      <c r="K8" s="24" t="inlineStr">
        <is>
          <t>Functional</t>
        </is>
      </c>
      <c r="L8" s="24" t="inlineStr">
        <is>
          <t>Codex QA</t>
        </is>
      </c>
      <c r="M8" s="24" t="inlineStr">
        <is>
          <t>2026-07-20</t>
        </is>
      </c>
      <c r="N8" s="24" t="inlineStr">
        <is>
          <t>Designed from the implemented UI and service contract.</t>
        </is>
      </c>
    </row>
    <row r="9" ht="46" customHeight="1">
      <c r="A9" s="23" t="inlineStr">
        <is>
          <t>EDI-005</t>
        </is>
      </c>
      <c r="B9" s="23" t="inlineStr">
        <is>
          <t>Edit Subject</t>
        </is>
      </c>
      <c r="C9" s="23" t="inlineStr">
        <is>
          <t>Back/cancel navigation</t>
        </is>
      </c>
      <c r="D9" s="23" t="inlineStr">
        <is>
          <t>Page is loaded</t>
        </is>
      </c>
      <c r="E9" s="23" t="inlineStr">
        <is>
          <t>Use Back or Cancel after entering changes</t>
        </is>
      </c>
      <c r="F9" s="23" t="inlineStr">
        <is>
          <t>See steps</t>
        </is>
      </c>
      <c r="G9" s="23" t="inlineStr">
        <is>
          <t>User returns to the expected page without unintended changes.</t>
        </is>
      </c>
      <c r="H9" s="23" t="inlineStr">
        <is>
          <t>Not executed: requires isolated test data, credentials, or controlled API failure.</t>
        </is>
      </c>
      <c r="I9" s="23" t="inlineStr">
        <is>
          <t>Not Run</t>
        </is>
      </c>
      <c r="J9" s="23" t="inlineStr">
        <is>
          <t>Medium</t>
        </is>
      </c>
      <c r="K9" s="23" t="inlineStr">
        <is>
          <t>Functional</t>
        </is>
      </c>
      <c r="L9" s="23" t="inlineStr">
        <is>
          <t>Codex QA</t>
        </is>
      </c>
      <c r="M9" s="23" t="inlineStr">
        <is>
          <t>2026-07-20</t>
        </is>
      </c>
      <c r="N9" s="23" t="inlineStr">
        <is>
          <t>Designed from the implemented UI and service contract.</t>
        </is>
      </c>
    </row>
    <row r="10" ht="46" customHeight="1">
      <c r="A10" s="24" t="inlineStr">
        <is>
          <t>EDI-006</t>
        </is>
      </c>
      <c r="B10" s="24" t="inlineStr">
        <is>
          <t>Edit Subject</t>
        </is>
      </c>
      <c r="C10" s="24" t="inlineStr">
        <is>
          <t>API failure</t>
        </is>
      </c>
      <c r="D10" s="24" t="inlineStr">
        <is>
          <t>Network mocking or a test API is available</t>
        </is>
      </c>
      <c r="E10" s="24" t="inlineStr">
        <is>
          <t>Simulate an API 4xx/5xx response</t>
        </is>
      </c>
      <c r="F10" s="24" t="inlineStr">
        <is>
          <t>See steps</t>
        </is>
      </c>
      <c r="G10" s="24" t="inlineStr">
        <is>
          <t>A readable error is shown; the UI remains usable.</t>
        </is>
      </c>
      <c r="H10" s="24" t="inlineStr">
        <is>
          <t>Not executed: requires isolated test data, credentials, or controlled API failure.</t>
        </is>
      </c>
      <c r="I10" s="24" t="inlineStr">
        <is>
          <t>Not Run</t>
        </is>
      </c>
      <c r="J10" s="24" t="inlineStr">
        <is>
          <t>Medium</t>
        </is>
      </c>
      <c r="K10" s="24" t="inlineStr">
        <is>
          <t>Functional</t>
        </is>
      </c>
      <c r="L10" s="24" t="inlineStr">
        <is>
          <t>Codex QA</t>
        </is>
      </c>
      <c r="M10" s="24" t="inlineStr">
        <is>
          <t>2026-07-20</t>
        </is>
      </c>
      <c r="N10" s="24" t="inlineStr">
        <is>
          <t>Designed from the implemented UI and service contract.</t>
        </is>
      </c>
    </row>
    <row r="11" ht="46" customHeight="1">
      <c r="A11" s="23" t="inlineStr">
        <is>
          <t>EDI-007</t>
        </is>
      </c>
      <c r="B11" s="23" t="inlineStr">
        <is>
          <t>Edit Subject</t>
        </is>
      </c>
      <c r="C11" s="23" t="inlineStr">
        <is>
          <t>Authorization</t>
        </is>
      </c>
      <c r="D11" s="23" t="inlineStr">
        <is>
          <t>No authenticated session</t>
        </is>
      </c>
      <c r="E11" s="23" t="inlineStr">
        <is>
          <t>Open the page in a fresh browser session without a token</t>
        </is>
      </c>
      <c r="F11" s="23" t="inlineStr">
        <is>
          <t>See steps</t>
        </is>
      </c>
      <c r="G11" s="23" t="inlineStr">
        <is>
          <t>User is redirected to login and protected data is not exposed.</t>
        </is>
      </c>
      <c r="H11" s="23" t="inlineStr">
        <is>
          <t>Direct access is allowed without a client-side guard; protected route is rendered.</t>
        </is>
      </c>
      <c r="I11" s="23" t="inlineStr">
        <is>
          <t>Failed</t>
        </is>
      </c>
      <c r="J11" s="23" t="inlineStr">
        <is>
          <t>High</t>
        </is>
      </c>
      <c r="K11" s="23" t="inlineStr">
        <is>
          <t>Functional</t>
        </is>
      </c>
      <c r="L11" s="23" t="inlineStr">
        <is>
          <t>Codex QA</t>
        </is>
      </c>
      <c r="M11" s="23" t="inlineStr">
        <is>
          <t>2026-07-20</t>
        </is>
      </c>
      <c r="N11" s="23" t="inlineStr">
        <is>
          <t>Logged in Bug Report as QA-SEC-001.</t>
        </is>
      </c>
    </row>
    <row r="12" ht="46" customHeight="1">
      <c r="A12" s="24" t="inlineStr">
        <is>
          <t>EDI-008</t>
        </is>
      </c>
      <c r="B12" s="24" t="inlineStr">
        <is>
          <t>Edit Subject</t>
        </is>
      </c>
      <c r="C12" s="24" t="inlineStr">
        <is>
          <t>Responsive/accessibility</t>
        </is>
      </c>
      <c r="D12" s="24" t="inlineStr">
        <is>
          <t>Page is loaded</t>
        </is>
      </c>
      <c r="E12" s="24" t="inlineStr">
        <is>
          <t>Check keyboard navigation and desktop/tablet/mobile widths</t>
        </is>
      </c>
      <c r="F12" s="24" t="inlineStr">
        <is>
          <t>See steps</t>
        </is>
      </c>
      <c r="G12" s="24" t="inlineStr">
        <is>
          <t>Labels, focus order, contrast and layout remain usable.</t>
        </is>
      </c>
      <c r="H12" s="24" t="inlineStr">
        <is>
          <t>Not executed: requires isolated test data, credentials, or controlled API failure.</t>
        </is>
      </c>
      <c r="I12" s="24" t="inlineStr">
        <is>
          <t>Not Run</t>
        </is>
      </c>
      <c r="J12" s="24" t="inlineStr">
        <is>
          <t>Medium</t>
        </is>
      </c>
      <c r="K12" s="24" t="inlineStr">
        <is>
          <t>Functional</t>
        </is>
      </c>
      <c r="L12" s="24" t="inlineStr">
        <is>
          <t>Codex QA</t>
        </is>
      </c>
      <c r="M12" s="24" t="inlineStr">
        <is>
          <t>2026-07-20</t>
        </is>
      </c>
      <c r="N12" s="24" t="inlineStr">
        <is>
          <t>Designed from the implemented UI and service contract.</t>
        </is>
      </c>
    </row>
  </sheetData>
  <autoFilter ref="A4:N12"/>
  <mergeCells count="2">
    <mergeCell ref="A2:N2"/>
    <mergeCell ref="A1:N1"/>
  </mergeCells>
  <conditionalFormatting sqref="I5:I12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"Not Run"</formula>
    </cfRule>
    <cfRule type="cellIs" priority="4" operator="equal" dxfId="3">
      <formula>"Blocked"</formula>
    </cfRule>
  </conditionalFormatting>
  <dataValidations count="1">
    <dataValidation sqref="I5:I12" showDropDown="0" showInputMessage="0" showErrorMessage="0" allowBlank="0" type="list">
      <formula1>"Passed,Failed,Blocked,Not Run"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28" customWidth="1" min="4" max="4"/>
    <col width="40" customWidth="1" min="5" max="5"/>
    <col width="22" customWidth="1" min="6" max="6"/>
    <col width="38" customWidth="1" min="7" max="7"/>
    <col width="38" customWidth="1" min="8" max="8"/>
    <col width="14" customWidth="1" min="9" max="9"/>
    <col width="12" customWidth="1" min="10" max="10"/>
    <col width="15" customWidth="1" min="11" max="11"/>
    <col width="16" customWidth="1" min="12" max="12"/>
    <col width="16" customWidth="1" min="13" max="13"/>
    <col width="30" customWidth="1" min="14" max="14"/>
  </cols>
  <sheetData>
    <row r="1" ht="38" customHeight="1">
      <c r="A1" s="1" t="inlineStr">
        <is>
          <t>Add Subject</t>
        </is>
      </c>
    </row>
    <row r="2" ht="24" customHeight="1">
      <c r="A2" s="2" t="inlineStr">
        <is>
          <t>NTG Admin Module • QA test cases • Last updated: 2026-07-20</t>
        </is>
      </c>
    </row>
    <row r="4" ht="30" customHeight="1">
      <c r="A4" s="22" t="inlineStr">
        <is>
          <t>Test ID</t>
        </is>
      </c>
      <c r="B4" s="22" t="inlineStr">
        <is>
          <t>Feature</t>
        </is>
      </c>
      <c r="C4" s="22" t="inlineStr">
        <is>
          <t>Test Scenario</t>
        </is>
      </c>
      <c r="D4" s="22" t="inlineStr">
        <is>
          <t>Preconditions</t>
        </is>
      </c>
      <c r="E4" s="22" t="inlineStr">
        <is>
          <t>Test Steps</t>
        </is>
      </c>
      <c r="F4" s="22" t="inlineStr">
        <is>
          <t>Test Data</t>
        </is>
      </c>
      <c r="G4" s="22" t="inlineStr">
        <is>
          <t>Expected Result</t>
        </is>
      </c>
      <c r="H4" s="22" t="inlineStr">
        <is>
          <t>Actual Result</t>
        </is>
      </c>
      <c r="I4" s="22" t="inlineStr">
        <is>
          <t>Status</t>
        </is>
      </c>
      <c r="J4" s="22" t="inlineStr">
        <is>
          <t>Priority</t>
        </is>
      </c>
      <c r="K4" s="22" t="inlineStr">
        <is>
          <t>Test Type</t>
        </is>
      </c>
      <c r="L4" s="22" t="inlineStr">
        <is>
          <t>Tester</t>
        </is>
      </c>
      <c r="M4" s="22" t="inlineStr">
        <is>
          <t>Execution Date</t>
        </is>
      </c>
      <c r="N4" s="22" t="inlineStr">
        <is>
          <t>Notes</t>
        </is>
      </c>
    </row>
    <row r="5" ht="46" customHeight="1">
      <c r="A5" s="23" t="inlineStr">
        <is>
          <t>ADD-001</t>
        </is>
      </c>
      <c r="B5" s="23" t="inlineStr">
        <is>
          <t>Add Subject</t>
        </is>
      </c>
      <c r="C5" s="23" t="inlineStr">
        <is>
          <t>Page load</t>
        </is>
      </c>
      <c r="D5" s="23" t="inlineStr">
        <is>
          <t>Development server is running</t>
        </is>
      </c>
      <c r="E5" s="23" t="inlineStr">
        <is>
          <t>Open Add Subject</t>
        </is>
      </c>
      <c r="F5" s="23" t="inlineStr">
        <is>
          <t>See steps</t>
        </is>
      </c>
      <c r="G5" s="23" t="inlineStr">
        <is>
          <t>The page renders with its heading, sidebar and primary controls.</t>
        </is>
      </c>
      <c r="H5" s="23" t="inlineStr">
        <is>
          <t>Route and component are available through the local development server.</t>
        </is>
      </c>
      <c r="I5" s="23" t="inlineStr">
        <is>
          <t>Passed</t>
        </is>
      </c>
      <c r="J5" s="23" t="inlineStr">
        <is>
          <t>Medium</t>
        </is>
      </c>
      <c r="K5" s="23" t="inlineStr">
        <is>
          <t>Functional</t>
        </is>
      </c>
      <c r="L5" s="23" t="inlineStr">
        <is>
          <t>Codex QA</t>
        </is>
      </c>
      <c r="M5" s="23" t="inlineStr">
        <is>
          <t>2026-07-20</t>
        </is>
      </c>
      <c r="N5" s="23" t="inlineStr">
        <is>
          <t>Smoke-tested on localhost:4200; API-backed values depend on local API data.</t>
        </is>
      </c>
    </row>
    <row r="6" ht="46" customHeight="1">
      <c r="A6" s="24" t="inlineStr">
        <is>
          <t>ADD-002</t>
        </is>
      </c>
      <c r="B6" s="24" t="inlineStr">
        <is>
          <t>Add Subject</t>
        </is>
      </c>
      <c r="C6" s="24" t="inlineStr">
        <is>
          <t>Required-field validation</t>
        </is>
      </c>
      <c r="D6" s="24" t="inlineStr">
        <is>
          <t>Page contains a form</t>
        </is>
      </c>
      <c r="E6" s="24" t="inlineStr">
        <is>
          <t>Submit the form with all mandatory fields blank</t>
        </is>
      </c>
      <c r="F6" s="24" t="inlineStr">
        <is>
          <t>See steps</t>
        </is>
      </c>
      <c r="G6" s="24" t="inlineStr">
        <is>
          <t>Submission is blocked and each required field is identified.</t>
        </is>
      </c>
      <c r="H6" s="24" t="inlineStr">
        <is>
          <t>Not executed: requires isolated test data, credentials, or controlled API failure.</t>
        </is>
      </c>
      <c r="I6" s="24" t="inlineStr">
        <is>
          <t>Not Run</t>
        </is>
      </c>
      <c r="J6" s="24" t="inlineStr">
        <is>
          <t>Medium</t>
        </is>
      </c>
      <c r="K6" s="24" t="inlineStr">
        <is>
          <t>Functional</t>
        </is>
      </c>
      <c r="L6" s="24" t="inlineStr">
        <is>
          <t>Codex QA</t>
        </is>
      </c>
      <c r="M6" s="24" t="inlineStr">
        <is>
          <t>2026-07-20</t>
        </is>
      </c>
      <c r="N6" s="24" t="inlineStr">
        <is>
          <t>Designed from the implemented UI and service contract.</t>
        </is>
      </c>
    </row>
    <row r="7" ht="46" customHeight="1">
      <c r="A7" s="23" t="inlineStr">
        <is>
          <t>ADD-003</t>
        </is>
      </c>
      <c r="B7" s="23" t="inlineStr">
        <is>
          <t>Add Subject</t>
        </is>
      </c>
      <c r="C7" s="23" t="inlineStr">
        <is>
          <t>Valid submission</t>
        </is>
      </c>
      <c r="D7" s="23" t="inlineStr">
        <is>
          <t>Dedicated non-production test data is available</t>
        </is>
      </c>
      <c r="E7" s="23" t="inlineStr">
        <is>
          <t>Enter valid values and submit</t>
        </is>
      </c>
      <c r="F7" s="23" t="inlineStr">
        <is>
          <t>See steps</t>
        </is>
      </c>
      <c r="G7" s="23" t="inlineStr">
        <is>
          <t>A success message appears and data persists once only.</t>
        </is>
      </c>
      <c r="H7" s="23" t="inlineStr">
        <is>
          <t>Not executed: requires isolated test data, credentials, or controlled API failure.</t>
        </is>
      </c>
      <c r="I7" s="23" t="inlineStr">
        <is>
          <t>Not Run</t>
        </is>
      </c>
      <c r="J7" s="23" t="inlineStr">
        <is>
          <t>High</t>
        </is>
      </c>
      <c r="K7" s="23" t="inlineStr">
        <is>
          <t>Functional</t>
        </is>
      </c>
      <c r="L7" s="23" t="inlineStr">
        <is>
          <t>Codex QA</t>
        </is>
      </c>
      <c r="M7" s="23" t="inlineStr">
        <is>
          <t>2026-07-20</t>
        </is>
      </c>
      <c r="N7" s="23" t="inlineStr">
        <is>
          <t>Designed from the implemented UI and service contract.</t>
        </is>
      </c>
    </row>
    <row r="8" ht="46" customHeight="1">
      <c r="A8" s="24" t="inlineStr">
        <is>
          <t>ADD-004</t>
        </is>
      </c>
      <c r="B8" s="24" t="inlineStr">
        <is>
          <t>Add Subject</t>
        </is>
      </c>
      <c r="C8" s="24" t="inlineStr">
        <is>
          <t>Invalid input</t>
        </is>
      </c>
      <c r="D8" s="24" t="inlineStr">
        <is>
          <t>Page is loaded</t>
        </is>
      </c>
      <c r="E8" s="24" t="inlineStr">
        <is>
          <t>Enter invalid format, boundary value, and long text</t>
        </is>
      </c>
      <c r="F8" s="24" t="inlineStr">
        <is>
          <t>See steps</t>
        </is>
      </c>
      <c r="G8" s="24" t="inlineStr">
        <is>
          <t>Invalid input is rejected with useful feedback and no request with bad data.</t>
        </is>
      </c>
      <c r="H8" s="24" t="inlineStr">
        <is>
          <t>Not executed: requires isolated test data, credentials, or controlled API failure.</t>
        </is>
      </c>
      <c r="I8" s="24" t="inlineStr">
        <is>
          <t>Not Run</t>
        </is>
      </c>
      <c r="J8" s="24" t="inlineStr">
        <is>
          <t>Medium</t>
        </is>
      </c>
      <c r="K8" s="24" t="inlineStr">
        <is>
          <t>Functional</t>
        </is>
      </c>
      <c r="L8" s="24" t="inlineStr">
        <is>
          <t>Codex QA</t>
        </is>
      </c>
      <c r="M8" s="24" t="inlineStr">
        <is>
          <t>2026-07-20</t>
        </is>
      </c>
      <c r="N8" s="24" t="inlineStr">
        <is>
          <t>Designed from the implemented UI and service contract.</t>
        </is>
      </c>
    </row>
    <row r="9" ht="46" customHeight="1">
      <c r="A9" s="23" t="inlineStr">
        <is>
          <t>ADD-005</t>
        </is>
      </c>
      <c r="B9" s="23" t="inlineStr">
        <is>
          <t>Add Subject</t>
        </is>
      </c>
      <c r="C9" s="23" t="inlineStr">
        <is>
          <t>Back/cancel navigation</t>
        </is>
      </c>
      <c r="D9" s="23" t="inlineStr">
        <is>
          <t>Page is loaded</t>
        </is>
      </c>
      <c r="E9" s="23" t="inlineStr">
        <is>
          <t>Use Back or Cancel after entering changes</t>
        </is>
      </c>
      <c r="F9" s="23" t="inlineStr">
        <is>
          <t>See steps</t>
        </is>
      </c>
      <c r="G9" s="23" t="inlineStr">
        <is>
          <t>User returns to the expected page without unintended changes.</t>
        </is>
      </c>
      <c r="H9" s="23" t="inlineStr">
        <is>
          <t>Not executed: requires isolated test data, credentials, or controlled API failure.</t>
        </is>
      </c>
      <c r="I9" s="23" t="inlineStr">
        <is>
          <t>Not Run</t>
        </is>
      </c>
      <c r="J9" s="23" t="inlineStr">
        <is>
          <t>Medium</t>
        </is>
      </c>
      <c r="K9" s="23" t="inlineStr">
        <is>
          <t>Functional</t>
        </is>
      </c>
      <c r="L9" s="23" t="inlineStr">
        <is>
          <t>Codex QA</t>
        </is>
      </c>
      <c r="M9" s="23" t="inlineStr">
        <is>
          <t>2026-07-20</t>
        </is>
      </c>
      <c r="N9" s="23" t="inlineStr">
        <is>
          <t>Designed from the implemented UI and service contract.</t>
        </is>
      </c>
    </row>
    <row r="10" ht="46" customHeight="1">
      <c r="A10" s="24" t="inlineStr">
        <is>
          <t>ADD-006</t>
        </is>
      </c>
      <c r="B10" s="24" t="inlineStr">
        <is>
          <t>Add Subject</t>
        </is>
      </c>
      <c r="C10" s="24" t="inlineStr">
        <is>
          <t>API failure</t>
        </is>
      </c>
      <c r="D10" s="24" t="inlineStr">
        <is>
          <t>Network mocking or a test API is available</t>
        </is>
      </c>
      <c r="E10" s="24" t="inlineStr">
        <is>
          <t>Simulate an API 4xx/5xx response</t>
        </is>
      </c>
      <c r="F10" s="24" t="inlineStr">
        <is>
          <t>See steps</t>
        </is>
      </c>
      <c r="G10" s="24" t="inlineStr">
        <is>
          <t>A readable error is shown; the UI remains usable.</t>
        </is>
      </c>
      <c r="H10" s="24" t="inlineStr">
        <is>
          <t>Not executed: requires isolated test data, credentials, or controlled API failure.</t>
        </is>
      </c>
      <c r="I10" s="24" t="inlineStr">
        <is>
          <t>Not Run</t>
        </is>
      </c>
      <c r="J10" s="24" t="inlineStr">
        <is>
          <t>Medium</t>
        </is>
      </c>
      <c r="K10" s="24" t="inlineStr">
        <is>
          <t>Functional</t>
        </is>
      </c>
      <c r="L10" s="24" t="inlineStr">
        <is>
          <t>Codex QA</t>
        </is>
      </c>
      <c r="M10" s="24" t="inlineStr">
        <is>
          <t>2026-07-20</t>
        </is>
      </c>
      <c r="N10" s="24" t="inlineStr">
        <is>
          <t>Designed from the implemented UI and service contract.</t>
        </is>
      </c>
    </row>
    <row r="11" ht="46" customHeight="1">
      <c r="A11" s="23" t="inlineStr">
        <is>
          <t>ADD-007</t>
        </is>
      </c>
      <c r="B11" s="23" t="inlineStr">
        <is>
          <t>Add Subject</t>
        </is>
      </c>
      <c r="C11" s="23" t="inlineStr">
        <is>
          <t>Authorization</t>
        </is>
      </c>
      <c r="D11" s="23" t="inlineStr">
        <is>
          <t>No authenticated session</t>
        </is>
      </c>
      <c r="E11" s="23" t="inlineStr">
        <is>
          <t>Open the page in a fresh browser session without a token</t>
        </is>
      </c>
      <c r="F11" s="23" t="inlineStr">
        <is>
          <t>See steps</t>
        </is>
      </c>
      <c r="G11" s="23" t="inlineStr">
        <is>
          <t>User is redirected to login and protected data is not exposed.</t>
        </is>
      </c>
      <c r="H11" s="23" t="inlineStr">
        <is>
          <t>Direct access is allowed without a client-side guard; protected route is rendered.</t>
        </is>
      </c>
      <c r="I11" s="23" t="inlineStr">
        <is>
          <t>Failed</t>
        </is>
      </c>
      <c r="J11" s="23" t="inlineStr">
        <is>
          <t>High</t>
        </is>
      </c>
      <c r="K11" s="23" t="inlineStr">
        <is>
          <t>Functional</t>
        </is>
      </c>
      <c r="L11" s="23" t="inlineStr">
        <is>
          <t>Codex QA</t>
        </is>
      </c>
      <c r="M11" s="23" t="inlineStr">
        <is>
          <t>2026-07-20</t>
        </is>
      </c>
      <c r="N11" s="23" t="inlineStr">
        <is>
          <t>Logged in Bug Report as QA-SEC-001.</t>
        </is>
      </c>
    </row>
    <row r="12" ht="46" customHeight="1">
      <c r="A12" s="24" t="inlineStr">
        <is>
          <t>ADD-008</t>
        </is>
      </c>
      <c r="B12" s="24" t="inlineStr">
        <is>
          <t>Add Subject</t>
        </is>
      </c>
      <c r="C12" s="24" t="inlineStr">
        <is>
          <t>Responsive/accessibility</t>
        </is>
      </c>
      <c r="D12" s="24" t="inlineStr">
        <is>
          <t>Page is loaded</t>
        </is>
      </c>
      <c r="E12" s="24" t="inlineStr">
        <is>
          <t>Check keyboard navigation and desktop/tablet/mobile widths</t>
        </is>
      </c>
      <c r="F12" s="24" t="inlineStr">
        <is>
          <t>See steps</t>
        </is>
      </c>
      <c r="G12" s="24" t="inlineStr">
        <is>
          <t>Labels, focus order, contrast and layout remain usable.</t>
        </is>
      </c>
      <c r="H12" s="24" t="inlineStr">
        <is>
          <t>Not executed: requires isolated test data, credentials, or controlled API failure.</t>
        </is>
      </c>
      <c r="I12" s="24" t="inlineStr">
        <is>
          <t>Not Run</t>
        </is>
      </c>
      <c r="J12" s="24" t="inlineStr">
        <is>
          <t>Medium</t>
        </is>
      </c>
      <c r="K12" s="24" t="inlineStr">
        <is>
          <t>Functional</t>
        </is>
      </c>
      <c r="L12" s="24" t="inlineStr">
        <is>
          <t>Codex QA</t>
        </is>
      </c>
      <c r="M12" s="24" t="inlineStr">
        <is>
          <t>2026-07-20</t>
        </is>
      </c>
      <c r="N12" s="24" t="inlineStr">
        <is>
          <t>Designed from the implemented UI and service contract.</t>
        </is>
      </c>
    </row>
  </sheetData>
  <autoFilter ref="A4:N12"/>
  <mergeCells count="2">
    <mergeCell ref="A2:N2"/>
    <mergeCell ref="A1:N1"/>
  </mergeCells>
  <conditionalFormatting sqref="I5:I12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"Not Run"</formula>
    </cfRule>
    <cfRule type="cellIs" priority="4" operator="equal" dxfId="3">
      <formula>"Blocked"</formula>
    </cfRule>
  </conditionalFormatting>
  <dataValidations count="1">
    <dataValidation sqref="I5:I12" showDropDown="0" showInputMessage="0" showErrorMessage="0" allowBlank="0" type="list">
      <formula1>"Passed,Failed,Blocked,Not Run"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28" customWidth="1" min="4" max="4"/>
    <col width="40" customWidth="1" min="5" max="5"/>
    <col width="22" customWidth="1" min="6" max="6"/>
    <col width="38" customWidth="1" min="7" max="7"/>
    <col width="38" customWidth="1" min="8" max="8"/>
    <col width="14" customWidth="1" min="9" max="9"/>
    <col width="12" customWidth="1" min="10" max="10"/>
    <col width="15" customWidth="1" min="11" max="11"/>
    <col width="16" customWidth="1" min="12" max="12"/>
    <col width="16" customWidth="1" min="13" max="13"/>
    <col width="30" customWidth="1" min="14" max="14"/>
  </cols>
  <sheetData>
    <row r="1" ht="38" customHeight="1">
      <c r="A1" s="1" t="inlineStr">
        <is>
          <t>Notifications</t>
        </is>
      </c>
    </row>
    <row r="2" ht="24" customHeight="1">
      <c r="A2" s="2" t="inlineStr">
        <is>
          <t>NTG Admin Module • QA test cases • Last updated: 2026-07-20</t>
        </is>
      </c>
    </row>
    <row r="4" ht="30" customHeight="1">
      <c r="A4" s="22" t="inlineStr">
        <is>
          <t>Test ID</t>
        </is>
      </c>
      <c r="B4" s="22" t="inlineStr">
        <is>
          <t>Feature</t>
        </is>
      </c>
      <c r="C4" s="22" t="inlineStr">
        <is>
          <t>Test Scenario</t>
        </is>
      </c>
      <c r="D4" s="22" t="inlineStr">
        <is>
          <t>Preconditions</t>
        </is>
      </c>
      <c r="E4" s="22" t="inlineStr">
        <is>
          <t>Test Steps</t>
        </is>
      </c>
      <c r="F4" s="22" t="inlineStr">
        <is>
          <t>Test Data</t>
        </is>
      </c>
      <c r="G4" s="22" t="inlineStr">
        <is>
          <t>Expected Result</t>
        </is>
      </c>
      <c r="H4" s="22" t="inlineStr">
        <is>
          <t>Actual Result</t>
        </is>
      </c>
      <c r="I4" s="22" t="inlineStr">
        <is>
          <t>Status</t>
        </is>
      </c>
      <c r="J4" s="22" t="inlineStr">
        <is>
          <t>Priority</t>
        </is>
      </c>
      <c r="K4" s="22" t="inlineStr">
        <is>
          <t>Test Type</t>
        </is>
      </c>
      <c r="L4" s="22" t="inlineStr">
        <is>
          <t>Tester</t>
        </is>
      </c>
      <c r="M4" s="22" t="inlineStr">
        <is>
          <t>Execution Date</t>
        </is>
      </c>
      <c r="N4" s="22" t="inlineStr">
        <is>
          <t>Notes</t>
        </is>
      </c>
    </row>
    <row r="5" ht="46" customHeight="1">
      <c r="A5" s="23" t="inlineStr">
        <is>
          <t>NOT-001</t>
        </is>
      </c>
      <c r="B5" s="23" t="inlineStr">
        <is>
          <t>Notifications</t>
        </is>
      </c>
      <c r="C5" s="23" t="inlineStr">
        <is>
          <t>Page load</t>
        </is>
      </c>
      <c r="D5" s="23" t="inlineStr">
        <is>
          <t>Development server is running</t>
        </is>
      </c>
      <c r="E5" s="23" t="inlineStr">
        <is>
          <t>Open Notifications List</t>
        </is>
      </c>
      <c r="F5" s="23" t="inlineStr">
        <is>
          <t>See steps</t>
        </is>
      </c>
      <c r="G5" s="23" t="inlineStr">
        <is>
          <t>The page renders with its heading, sidebar and primary controls.</t>
        </is>
      </c>
      <c r="H5" s="23" t="inlineStr">
        <is>
          <t>Route and component are available through the local development server.</t>
        </is>
      </c>
      <c r="I5" s="23" t="inlineStr">
        <is>
          <t>Passed</t>
        </is>
      </c>
      <c r="J5" s="23" t="inlineStr">
        <is>
          <t>Medium</t>
        </is>
      </c>
      <c r="K5" s="23" t="inlineStr">
        <is>
          <t>Functional</t>
        </is>
      </c>
      <c r="L5" s="23" t="inlineStr">
        <is>
          <t>Codex QA</t>
        </is>
      </c>
      <c r="M5" s="23" t="inlineStr">
        <is>
          <t>2026-07-20</t>
        </is>
      </c>
      <c r="N5" s="23" t="inlineStr">
        <is>
          <t>Smoke-tested on localhost:4200; API-backed values depend on local API data.</t>
        </is>
      </c>
    </row>
    <row r="6" ht="46" customHeight="1">
      <c r="A6" s="24" t="inlineStr">
        <is>
          <t>NOT-002</t>
        </is>
      </c>
      <c r="B6" s="24" t="inlineStr">
        <is>
          <t>Notifications</t>
        </is>
      </c>
      <c r="C6" s="24" t="inlineStr">
        <is>
          <t>Required-field validation</t>
        </is>
      </c>
      <c r="D6" s="24" t="inlineStr">
        <is>
          <t>Page contains a form</t>
        </is>
      </c>
      <c r="E6" s="24" t="inlineStr">
        <is>
          <t>Submit the form with all mandatory fields blank</t>
        </is>
      </c>
      <c r="F6" s="24" t="inlineStr">
        <is>
          <t>See steps</t>
        </is>
      </c>
      <c r="G6" s="24" t="inlineStr">
        <is>
          <t>Submission is blocked and each required field is identified.</t>
        </is>
      </c>
      <c r="H6" s="24" t="inlineStr">
        <is>
          <t>Not executed: requires isolated test data, credentials, or controlled API failure.</t>
        </is>
      </c>
      <c r="I6" s="24" t="inlineStr">
        <is>
          <t>Not Run</t>
        </is>
      </c>
      <c r="J6" s="24" t="inlineStr">
        <is>
          <t>Medium</t>
        </is>
      </c>
      <c r="K6" s="24" t="inlineStr">
        <is>
          <t>Functional</t>
        </is>
      </c>
      <c r="L6" s="24" t="inlineStr">
        <is>
          <t>Codex QA</t>
        </is>
      </c>
      <c r="M6" s="24" t="inlineStr">
        <is>
          <t>2026-07-20</t>
        </is>
      </c>
      <c r="N6" s="24" t="inlineStr">
        <is>
          <t>Designed from the implemented UI and service contract.</t>
        </is>
      </c>
    </row>
    <row r="7" ht="46" customHeight="1">
      <c r="A7" s="23" t="inlineStr">
        <is>
          <t>NOT-003</t>
        </is>
      </c>
      <c r="B7" s="23" t="inlineStr">
        <is>
          <t>Notifications</t>
        </is>
      </c>
      <c r="C7" s="23" t="inlineStr">
        <is>
          <t>Valid submission</t>
        </is>
      </c>
      <c r="D7" s="23" t="inlineStr">
        <is>
          <t>Dedicated non-production test data is available</t>
        </is>
      </c>
      <c r="E7" s="23" t="inlineStr">
        <is>
          <t>Enter valid values and submit</t>
        </is>
      </c>
      <c r="F7" s="23" t="inlineStr">
        <is>
          <t>See steps</t>
        </is>
      </c>
      <c r="G7" s="23" t="inlineStr">
        <is>
          <t>A success message appears and data persists once only.</t>
        </is>
      </c>
      <c r="H7" s="23" t="inlineStr">
        <is>
          <t>Not executed: requires isolated test data, credentials, or controlled API failure.</t>
        </is>
      </c>
      <c r="I7" s="23" t="inlineStr">
        <is>
          <t>Not Run</t>
        </is>
      </c>
      <c r="J7" s="23" t="inlineStr">
        <is>
          <t>High</t>
        </is>
      </c>
      <c r="K7" s="23" t="inlineStr">
        <is>
          <t>Functional</t>
        </is>
      </c>
      <c r="L7" s="23" t="inlineStr">
        <is>
          <t>Codex QA</t>
        </is>
      </c>
      <c r="M7" s="23" t="inlineStr">
        <is>
          <t>2026-07-20</t>
        </is>
      </c>
      <c r="N7" s="23" t="inlineStr">
        <is>
          <t>Designed from the implemented UI and service contract.</t>
        </is>
      </c>
    </row>
    <row r="8" ht="46" customHeight="1">
      <c r="A8" s="24" t="inlineStr">
        <is>
          <t>NOT-004</t>
        </is>
      </c>
      <c r="B8" s="24" t="inlineStr">
        <is>
          <t>Notifications</t>
        </is>
      </c>
      <c r="C8" s="24" t="inlineStr">
        <is>
          <t>Invalid input</t>
        </is>
      </c>
      <c r="D8" s="24" t="inlineStr">
        <is>
          <t>Page is loaded</t>
        </is>
      </c>
      <c r="E8" s="24" t="inlineStr">
        <is>
          <t>Enter invalid format, boundary value, and long text</t>
        </is>
      </c>
      <c r="F8" s="24" t="inlineStr">
        <is>
          <t>See steps</t>
        </is>
      </c>
      <c r="G8" s="24" t="inlineStr">
        <is>
          <t>Invalid input is rejected with useful feedback and no request with bad data.</t>
        </is>
      </c>
      <c r="H8" s="24" t="inlineStr">
        <is>
          <t>Not executed: requires isolated test data, credentials, or controlled API failure.</t>
        </is>
      </c>
      <c r="I8" s="24" t="inlineStr">
        <is>
          <t>Not Run</t>
        </is>
      </c>
      <c r="J8" s="24" t="inlineStr">
        <is>
          <t>Medium</t>
        </is>
      </c>
      <c r="K8" s="24" t="inlineStr">
        <is>
          <t>Functional</t>
        </is>
      </c>
      <c r="L8" s="24" t="inlineStr">
        <is>
          <t>Codex QA</t>
        </is>
      </c>
      <c r="M8" s="24" t="inlineStr">
        <is>
          <t>2026-07-20</t>
        </is>
      </c>
      <c r="N8" s="24" t="inlineStr">
        <is>
          <t>Designed from the implemented UI and service contract.</t>
        </is>
      </c>
    </row>
    <row r="9" ht="46" customHeight="1">
      <c r="A9" s="23" t="inlineStr">
        <is>
          <t>NOT-005</t>
        </is>
      </c>
      <c r="B9" s="23" t="inlineStr">
        <is>
          <t>Notifications</t>
        </is>
      </c>
      <c r="C9" s="23" t="inlineStr">
        <is>
          <t>Back/cancel navigation</t>
        </is>
      </c>
      <c r="D9" s="23" t="inlineStr">
        <is>
          <t>Page is loaded</t>
        </is>
      </c>
      <c r="E9" s="23" t="inlineStr">
        <is>
          <t>Use Back or Cancel after entering changes</t>
        </is>
      </c>
      <c r="F9" s="23" t="inlineStr">
        <is>
          <t>See steps</t>
        </is>
      </c>
      <c r="G9" s="23" t="inlineStr">
        <is>
          <t>User returns to the expected page without unintended changes.</t>
        </is>
      </c>
      <c r="H9" s="23" t="inlineStr">
        <is>
          <t>Not executed: requires isolated test data, credentials, or controlled API failure.</t>
        </is>
      </c>
      <c r="I9" s="23" t="inlineStr">
        <is>
          <t>Not Run</t>
        </is>
      </c>
      <c r="J9" s="23" t="inlineStr">
        <is>
          <t>Medium</t>
        </is>
      </c>
      <c r="K9" s="23" t="inlineStr">
        <is>
          <t>Functional</t>
        </is>
      </c>
      <c r="L9" s="23" t="inlineStr">
        <is>
          <t>Codex QA</t>
        </is>
      </c>
      <c r="M9" s="23" t="inlineStr">
        <is>
          <t>2026-07-20</t>
        </is>
      </c>
      <c r="N9" s="23" t="inlineStr">
        <is>
          <t>Designed from the implemented UI and service contract.</t>
        </is>
      </c>
    </row>
    <row r="10" ht="46" customHeight="1">
      <c r="A10" s="24" t="inlineStr">
        <is>
          <t>NOT-006</t>
        </is>
      </c>
      <c r="B10" s="24" t="inlineStr">
        <is>
          <t>Notifications</t>
        </is>
      </c>
      <c r="C10" s="24" t="inlineStr">
        <is>
          <t>API failure</t>
        </is>
      </c>
      <c r="D10" s="24" t="inlineStr">
        <is>
          <t>Network mocking or a test API is available</t>
        </is>
      </c>
      <c r="E10" s="24" t="inlineStr">
        <is>
          <t>Simulate an API 4xx/5xx response</t>
        </is>
      </c>
      <c r="F10" s="24" t="inlineStr">
        <is>
          <t>See steps</t>
        </is>
      </c>
      <c r="G10" s="24" t="inlineStr">
        <is>
          <t>A readable error is shown; the UI remains usable.</t>
        </is>
      </c>
      <c r="H10" s="24" t="inlineStr">
        <is>
          <t>Not executed: requires isolated test data, credentials, or controlled API failure.</t>
        </is>
      </c>
      <c r="I10" s="24" t="inlineStr">
        <is>
          <t>Not Run</t>
        </is>
      </c>
      <c r="J10" s="24" t="inlineStr">
        <is>
          <t>Medium</t>
        </is>
      </c>
      <c r="K10" s="24" t="inlineStr">
        <is>
          <t>Functional</t>
        </is>
      </c>
      <c r="L10" s="24" t="inlineStr">
        <is>
          <t>Codex QA</t>
        </is>
      </c>
      <c r="M10" s="24" t="inlineStr">
        <is>
          <t>2026-07-20</t>
        </is>
      </c>
      <c r="N10" s="24" t="inlineStr">
        <is>
          <t>Designed from the implemented UI and service contract.</t>
        </is>
      </c>
    </row>
    <row r="11" ht="46" customHeight="1">
      <c r="A11" s="23" t="inlineStr">
        <is>
          <t>NOT-007</t>
        </is>
      </c>
      <c r="B11" s="23" t="inlineStr">
        <is>
          <t>Notifications</t>
        </is>
      </c>
      <c r="C11" s="23" t="inlineStr">
        <is>
          <t>Authorization</t>
        </is>
      </c>
      <c r="D11" s="23" t="inlineStr">
        <is>
          <t>No authenticated session</t>
        </is>
      </c>
      <c r="E11" s="23" t="inlineStr">
        <is>
          <t>Open the page in a fresh browser session without a token</t>
        </is>
      </c>
      <c r="F11" s="23" t="inlineStr">
        <is>
          <t>See steps</t>
        </is>
      </c>
      <c r="G11" s="23" t="inlineStr">
        <is>
          <t>User is redirected to login and protected data is not exposed.</t>
        </is>
      </c>
      <c r="H11" s="23" t="inlineStr">
        <is>
          <t>Direct access is allowed without a client-side guard; protected route is rendered.</t>
        </is>
      </c>
      <c r="I11" s="23" t="inlineStr">
        <is>
          <t>Failed</t>
        </is>
      </c>
      <c r="J11" s="23" t="inlineStr">
        <is>
          <t>High</t>
        </is>
      </c>
      <c r="K11" s="23" t="inlineStr">
        <is>
          <t>Functional</t>
        </is>
      </c>
      <c r="L11" s="23" t="inlineStr">
        <is>
          <t>Codex QA</t>
        </is>
      </c>
      <c r="M11" s="23" t="inlineStr">
        <is>
          <t>2026-07-20</t>
        </is>
      </c>
      <c r="N11" s="23" t="inlineStr">
        <is>
          <t>Logged in Bug Report as QA-SEC-001.</t>
        </is>
      </c>
    </row>
    <row r="12" ht="46" customHeight="1">
      <c r="A12" s="24" t="inlineStr">
        <is>
          <t>NOT-008</t>
        </is>
      </c>
      <c r="B12" s="24" t="inlineStr">
        <is>
          <t>Notifications</t>
        </is>
      </c>
      <c r="C12" s="24" t="inlineStr">
        <is>
          <t>Responsive/accessibility</t>
        </is>
      </c>
      <c r="D12" s="24" t="inlineStr">
        <is>
          <t>Page is loaded</t>
        </is>
      </c>
      <c r="E12" s="24" t="inlineStr">
        <is>
          <t>Check keyboard navigation and desktop/tablet/mobile widths</t>
        </is>
      </c>
      <c r="F12" s="24" t="inlineStr">
        <is>
          <t>See steps</t>
        </is>
      </c>
      <c r="G12" s="24" t="inlineStr">
        <is>
          <t>Labels, focus order, contrast and layout remain usable.</t>
        </is>
      </c>
      <c r="H12" s="24" t="inlineStr">
        <is>
          <t>Not executed: requires isolated test data, credentials, or controlled API failure.</t>
        </is>
      </c>
      <c r="I12" s="24" t="inlineStr">
        <is>
          <t>Not Run</t>
        </is>
      </c>
      <c r="J12" s="24" t="inlineStr">
        <is>
          <t>Medium</t>
        </is>
      </c>
      <c r="K12" s="24" t="inlineStr">
        <is>
          <t>Functional</t>
        </is>
      </c>
      <c r="L12" s="24" t="inlineStr">
        <is>
          <t>Codex QA</t>
        </is>
      </c>
      <c r="M12" s="24" t="inlineStr">
        <is>
          <t>2026-07-20</t>
        </is>
      </c>
      <c r="N12" s="24" t="inlineStr">
        <is>
          <t>Designed from the implemented UI and service contract.</t>
        </is>
      </c>
    </row>
  </sheetData>
  <autoFilter ref="A4:N12"/>
  <mergeCells count="2">
    <mergeCell ref="A2:N2"/>
    <mergeCell ref="A1:N1"/>
  </mergeCells>
  <conditionalFormatting sqref="I5:I12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"Not Run"</formula>
    </cfRule>
    <cfRule type="cellIs" priority="4" operator="equal" dxfId="3">
      <formula>"Blocked"</formula>
    </cfRule>
  </conditionalFormatting>
  <dataValidations count="1">
    <dataValidation sqref="I5:I12" showDropDown="0" showInputMessage="0" showErrorMessage="0" allowBlank="0" type="list">
      <formula1>"Passed,Failed,Blocked,Not Run"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28" customWidth="1" min="4" max="4"/>
    <col width="40" customWidth="1" min="5" max="5"/>
    <col width="22" customWidth="1" min="6" max="6"/>
    <col width="38" customWidth="1" min="7" max="7"/>
    <col width="38" customWidth="1" min="8" max="8"/>
    <col width="14" customWidth="1" min="9" max="9"/>
    <col width="12" customWidth="1" min="10" max="10"/>
    <col width="15" customWidth="1" min="11" max="11"/>
    <col width="16" customWidth="1" min="12" max="12"/>
    <col width="16" customWidth="1" min="13" max="13"/>
    <col width="30" customWidth="1" min="14" max="14"/>
  </cols>
  <sheetData>
    <row r="1" ht="38" customHeight="1">
      <c r="A1" s="1" t="inlineStr">
        <is>
          <t>Send Notification</t>
        </is>
      </c>
    </row>
    <row r="2" ht="24" customHeight="1">
      <c r="A2" s="2" t="inlineStr">
        <is>
          <t>NTG Admin Module • QA test cases • Last updated: 2026-07-20</t>
        </is>
      </c>
    </row>
    <row r="4" ht="30" customHeight="1">
      <c r="A4" s="22" t="inlineStr">
        <is>
          <t>Test ID</t>
        </is>
      </c>
      <c r="B4" s="22" t="inlineStr">
        <is>
          <t>Feature</t>
        </is>
      </c>
      <c r="C4" s="22" t="inlineStr">
        <is>
          <t>Test Scenario</t>
        </is>
      </c>
      <c r="D4" s="22" t="inlineStr">
        <is>
          <t>Preconditions</t>
        </is>
      </c>
      <c r="E4" s="22" t="inlineStr">
        <is>
          <t>Test Steps</t>
        </is>
      </c>
      <c r="F4" s="22" t="inlineStr">
        <is>
          <t>Test Data</t>
        </is>
      </c>
      <c r="G4" s="22" t="inlineStr">
        <is>
          <t>Expected Result</t>
        </is>
      </c>
      <c r="H4" s="22" t="inlineStr">
        <is>
          <t>Actual Result</t>
        </is>
      </c>
      <c r="I4" s="22" t="inlineStr">
        <is>
          <t>Status</t>
        </is>
      </c>
      <c r="J4" s="22" t="inlineStr">
        <is>
          <t>Priority</t>
        </is>
      </c>
      <c r="K4" s="22" t="inlineStr">
        <is>
          <t>Test Type</t>
        </is>
      </c>
      <c r="L4" s="22" t="inlineStr">
        <is>
          <t>Tester</t>
        </is>
      </c>
      <c r="M4" s="22" t="inlineStr">
        <is>
          <t>Execution Date</t>
        </is>
      </c>
      <c r="N4" s="22" t="inlineStr">
        <is>
          <t>Notes</t>
        </is>
      </c>
    </row>
    <row r="5" ht="46" customHeight="1">
      <c r="A5" s="23" t="inlineStr">
        <is>
          <t>SEN-001</t>
        </is>
      </c>
      <c r="B5" s="23" t="inlineStr">
        <is>
          <t>Send Notification</t>
        </is>
      </c>
      <c r="C5" s="23" t="inlineStr">
        <is>
          <t>Page load</t>
        </is>
      </c>
      <c r="D5" s="23" t="inlineStr">
        <is>
          <t>Development server is running</t>
        </is>
      </c>
      <c r="E5" s="23" t="inlineStr">
        <is>
          <t>Open Send Notification</t>
        </is>
      </c>
      <c r="F5" s="23" t="inlineStr">
        <is>
          <t>See steps</t>
        </is>
      </c>
      <c r="G5" s="23" t="inlineStr">
        <is>
          <t>The page renders with its heading, sidebar and primary controls.</t>
        </is>
      </c>
      <c r="H5" s="23" t="inlineStr">
        <is>
          <t>Route and component are available through the local development server.</t>
        </is>
      </c>
      <c r="I5" s="23" t="inlineStr">
        <is>
          <t>Passed</t>
        </is>
      </c>
      <c r="J5" s="23" t="inlineStr">
        <is>
          <t>Medium</t>
        </is>
      </c>
      <c r="K5" s="23" t="inlineStr">
        <is>
          <t>Functional</t>
        </is>
      </c>
      <c r="L5" s="23" t="inlineStr">
        <is>
          <t>Codex QA</t>
        </is>
      </c>
      <c r="M5" s="23" t="inlineStr">
        <is>
          <t>2026-07-20</t>
        </is>
      </c>
      <c r="N5" s="23" t="inlineStr">
        <is>
          <t>Smoke-tested on localhost:4200; API-backed values depend on local API data.</t>
        </is>
      </c>
    </row>
    <row r="6" ht="46" customHeight="1">
      <c r="A6" s="24" t="inlineStr">
        <is>
          <t>SEN-002</t>
        </is>
      </c>
      <c r="B6" s="24" t="inlineStr">
        <is>
          <t>Send Notification</t>
        </is>
      </c>
      <c r="C6" s="24" t="inlineStr">
        <is>
          <t>Required-field validation</t>
        </is>
      </c>
      <c r="D6" s="24" t="inlineStr">
        <is>
          <t>Page contains a form</t>
        </is>
      </c>
      <c r="E6" s="24" t="inlineStr">
        <is>
          <t>Submit the form with all mandatory fields blank</t>
        </is>
      </c>
      <c r="F6" s="24" t="inlineStr">
        <is>
          <t>See steps</t>
        </is>
      </c>
      <c r="G6" s="24" t="inlineStr">
        <is>
          <t>Submission is blocked and each required field is identified.</t>
        </is>
      </c>
      <c r="H6" s="24" t="inlineStr">
        <is>
          <t>Not executed: requires isolated test data, credentials, or controlled API failure.</t>
        </is>
      </c>
      <c r="I6" s="24" t="inlineStr">
        <is>
          <t>Not Run</t>
        </is>
      </c>
      <c r="J6" s="24" t="inlineStr">
        <is>
          <t>Medium</t>
        </is>
      </c>
      <c r="K6" s="24" t="inlineStr">
        <is>
          <t>Functional</t>
        </is>
      </c>
      <c r="L6" s="24" t="inlineStr">
        <is>
          <t>Codex QA</t>
        </is>
      </c>
      <c r="M6" s="24" t="inlineStr">
        <is>
          <t>2026-07-20</t>
        </is>
      </c>
      <c r="N6" s="24" t="inlineStr">
        <is>
          <t>Designed from the implemented UI and service contract.</t>
        </is>
      </c>
    </row>
    <row r="7" ht="46" customHeight="1">
      <c r="A7" s="23" t="inlineStr">
        <is>
          <t>SEN-003</t>
        </is>
      </c>
      <c r="B7" s="23" t="inlineStr">
        <is>
          <t>Send Notification</t>
        </is>
      </c>
      <c r="C7" s="23" t="inlineStr">
        <is>
          <t>Valid submission</t>
        </is>
      </c>
      <c r="D7" s="23" t="inlineStr">
        <is>
          <t>Dedicated non-production test data is available</t>
        </is>
      </c>
      <c r="E7" s="23" t="inlineStr">
        <is>
          <t>Enter valid values and submit</t>
        </is>
      </c>
      <c r="F7" s="23" t="inlineStr">
        <is>
          <t>See steps</t>
        </is>
      </c>
      <c r="G7" s="23" t="inlineStr">
        <is>
          <t>A success message appears and data persists once only.</t>
        </is>
      </c>
      <c r="H7" s="23" t="inlineStr">
        <is>
          <t>Not executed: requires isolated test data, credentials, or controlled API failure.</t>
        </is>
      </c>
      <c r="I7" s="23" t="inlineStr">
        <is>
          <t>Not Run</t>
        </is>
      </c>
      <c r="J7" s="23" t="inlineStr">
        <is>
          <t>High</t>
        </is>
      </c>
      <c r="K7" s="23" t="inlineStr">
        <is>
          <t>Functional</t>
        </is>
      </c>
      <c r="L7" s="23" t="inlineStr">
        <is>
          <t>Codex QA</t>
        </is>
      </c>
      <c r="M7" s="23" t="inlineStr">
        <is>
          <t>2026-07-20</t>
        </is>
      </c>
      <c r="N7" s="23" t="inlineStr">
        <is>
          <t>Designed from the implemented UI and service contract.</t>
        </is>
      </c>
    </row>
    <row r="8" ht="46" customHeight="1">
      <c r="A8" s="24" t="inlineStr">
        <is>
          <t>SEN-004</t>
        </is>
      </c>
      <c r="B8" s="24" t="inlineStr">
        <is>
          <t>Send Notification</t>
        </is>
      </c>
      <c r="C8" s="24" t="inlineStr">
        <is>
          <t>Invalid input</t>
        </is>
      </c>
      <c r="D8" s="24" t="inlineStr">
        <is>
          <t>Page is loaded</t>
        </is>
      </c>
      <c r="E8" s="24" t="inlineStr">
        <is>
          <t>Enter invalid format, boundary value, and long text</t>
        </is>
      </c>
      <c r="F8" s="24" t="inlineStr">
        <is>
          <t>See steps</t>
        </is>
      </c>
      <c r="G8" s="24" t="inlineStr">
        <is>
          <t>Invalid input is rejected with useful feedback and no request with bad data.</t>
        </is>
      </c>
      <c r="H8" s="24" t="inlineStr">
        <is>
          <t>Not executed: requires isolated test data, credentials, or controlled API failure.</t>
        </is>
      </c>
      <c r="I8" s="24" t="inlineStr">
        <is>
          <t>Not Run</t>
        </is>
      </c>
      <c r="J8" s="24" t="inlineStr">
        <is>
          <t>Medium</t>
        </is>
      </c>
      <c r="K8" s="24" t="inlineStr">
        <is>
          <t>Functional</t>
        </is>
      </c>
      <c r="L8" s="24" t="inlineStr">
        <is>
          <t>Codex QA</t>
        </is>
      </c>
      <c r="M8" s="24" t="inlineStr">
        <is>
          <t>2026-07-20</t>
        </is>
      </c>
      <c r="N8" s="24" t="inlineStr">
        <is>
          <t>Designed from the implemented UI and service contract.</t>
        </is>
      </c>
    </row>
    <row r="9" ht="46" customHeight="1">
      <c r="A9" s="23" t="inlineStr">
        <is>
          <t>SEN-005</t>
        </is>
      </c>
      <c r="B9" s="23" t="inlineStr">
        <is>
          <t>Send Notification</t>
        </is>
      </c>
      <c r="C9" s="23" t="inlineStr">
        <is>
          <t>Back/cancel navigation</t>
        </is>
      </c>
      <c r="D9" s="23" t="inlineStr">
        <is>
          <t>Page is loaded</t>
        </is>
      </c>
      <c r="E9" s="23" t="inlineStr">
        <is>
          <t>Use Back or Cancel after entering changes</t>
        </is>
      </c>
      <c r="F9" s="23" t="inlineStr">
        <is>
          <t>See steps</t>
        </is>
      </c>
      <c r="G9" s="23" t="inlineStr">
        <is>
          <t>User returns to the expected page without unintended changes.</t>
        </is>
      </c>
      <c r="H9" s="23" t="inlineStr">
        <is>
          <t>Not executed: requires isolated test data, credentials, or controlled API failure.</t>
        </is>
      </c>
      <c r="I9" s="23" t="inlineStr">
        <is>
          <t>Not Run</t>
        </is>
      </c>
      <c r="J9" s="23" t="inlineStr">
        <is>
          <t>Medium</t>
        </is>
      </c>
      <c r="K9" s="23" t="inlineStr">
        <is>
          <t>Functional</t>
        </is>
      </c>
      <c r="L9" s="23" t="inlineStr">
        <is>
          <t>Codex QA</t>
        </is>
      </c>
      <c r="M9" s="23" t="inlineStr">
        <is>
          <t>2026-07-20</t>
        </is>
      </c>
      <c r="N9" s="23" t="inlineStr">
        <is>
          <t>Designed from the implemented UI and service contract.</t>
        </is>
      </c>
    </row>
    <row r="10" ht="46" customHeight="1">
      <c r="A10" s="24" t="inlineStr">
        <is>
          <t>SEN-006</t>
        </is>
      </c>
      <c r="B10" s="24" t="inlineStr">
        <is>
          <t>Send Notification</t>
        </is>
      </c>
      <c r="C10" s="24" t="inlineStr">
        <is>
          <t>API failure</t>
        </is>
      </c>
      <c r="D10" s="24" t="inlineStr">
        <is>
          <t>Network mocking or a test API is available</t>
        </is>
      </c>
      <c r="E10" s="24" t="inlineStr">
        <is>
          <t>Simulate an API 4xx/5xx response</t>
        </is>
      </c>
      <c r="F10" s="24" t="inlineStr">
        <is>
          <t>See steps</t>
        </is>
      </c>
      <c r="G10" s="24" t="inlineStr">
        <is>
          <t>A readable error is shown; the UI remains usable.</t>
        </is>
      </c>
      <c r="H10" s="24" t="inlineStr">
        <is>
          <t>Not executed: requires isolated test data, credentials, or controlled API failure.</t>
        </is>
      </c>
      <c r="I10" s="24" t="inlineStr">
        <is>
          <t>Not Run</t>
        </is>
      </c>
      <c r="J10" s="24" t="inlineStr">
        <is>
          <t>Medium</t>
        </is>
      </c>
      <c r="K10" s="24" t="inlineStr">
        <is>
          <t>Functional</t>
        </is>
      </c>
      <c r="L10" s="24" t="inlineStr">
        <is>
          <t>Codex QA</t>
        </is>
      </c>
      <c r="M10" s="24" t="inlineStr">
        <is>
          <t>2026-07-20</t>
        </is>
      </c>
      <c r="N10" s="24" t="inlineStr">
        <is>
          <t>Designed from the implemented UI and service contract.</t>
        </is>
      </c>
    </row>
    <row r="11" ht="46" customHeight="1">
      <c r="A11" s="23" t="inlineStr">
        <is>
          <t>SEN-007</t>
        </is>
      </c>
      <c r="B11" s="23" t="inlineStr">
        <is>
          <t>Send Notification</t>
        </is>
      </c>
      <c r="C11" s="23" t="inlineStr">
        <is>
          <t>Authorization</t>
        </is>
      </c>
      <c r="D11" s="23" t="inlineStr">
        <is>
          <t>No authenticated session</t>
        </is>
      </c>
      <c r="E11" s="23" t="inlineStr">
        <is>
          <t>Open the page in a fresh browser session without a token</t>
        </is>
      </c>
      <c r="F11" s="23" t="inlineStr">
        <is>
          <t>See steps</t>
        </is>
      </c>
      <c r="G11" s="23" t="inlineStr">
        <is>
          <t>User is redirected to login and protected data is not exposed.</t>
        </is>
      </c>
      <c r="H11" s="23" t="inlineStr">
        <is>
          <t>Direct access is allowed without a client-side guard; protected route is rendered.</t>
        </is>
      </c>
      <c r="I11" s="23" t="inlineStr">
        <is>
          <t>Failed</t>
        </is>
      </c>
      <c r="J11" s="23" t="inlineStr">
        <is>
          <t>High</t>
        </is>
      </c>
      <c r="K11" s="23" t="inlineStr">
        <is>
          <t>Functional</t>
        </is>
      </c>
      <c r="L11" s="23" t="inlineStr">
        <is>
          <t>Codex QA</t>
        </is>
      </c>
      <c r="M11" s="23" t="inlineStr">
        <is>
          <t>2026-07-20</t>
        </is>
      </c>
      <c r="N11" s="23" t="inlineStr">
        <is>
          <t>Logged in Bug Report as QA-SEC-001.</t>
        </is>
      </c>
    </row>
    <row r="12" ht="46" customHeight="1">
      <c r="A12" s="24" t="inlineStr">
        <is>
          <t>SEN-008</t>
        </is>
      </c>
      <c r="B12" s="24" t="inlineStr">
        <is>
          <t>Send Notification</t>
        </is>
      </c>
      <c r="C12" s="24" t="inlineStr">
        <is>
          <t>Responsive/accessibility</t>
        </is>
      </c>
      <c r="D12" s="24" t="inlineStr">
        <is>
          <t>Page is loaded</t>
        </is>
      </c>
      <c r="E12" s="24" t="inlineStr">
        <is>
          <t>Check keyboard navigation and desktop/tablet/mobile widths</t>
        </is>
      </c>
      <c r="F12" s="24" t="inlineStr">
        <is>
          <t>See steps</t>
        </is>
      </c>
      <c r="G12" s="24" t="inlineStr">
        <is>
          <t>Labels, focus order, contrast and layout remain usable.</t>
        </is>
      </c>
      <c r="H12" s="24" t="inlineStr">
        <is>
          <t>Not executed: requires isolated test data, credentials, or controlled API failure.</t>
        </is>
      </c>
      <c r="I12" s="24" t="inlineStr">
        <is>
          <t>Not Run</t>
        </is>
      </c>
      <c r="J12" s="24" t="inlineStr">
        <is>
          <t>Medium</t>
        </is>
      </c>
      <c r="K12" s="24" t="inlineStr">
        <is>
          <t>Functional</t>
        </is>
      </c>
      <c r="L12" s="24" t="inlineStr">
        <is>
          <t>Codex QA</t>
        </is>
      </c>
      <c r="M12" s="24" t="inlineStr">
        <is>
          <t>2026-07-20</t>
        </is>
      </c>
      <c r="N12" s="24" t="inlineStr">
        <is>
          <t>Designed from the implemented UI and service contract.</t>
        </is>
      </c>
    </row>
  </sheetData>
  <autoFilter ref="A4:N12"/>
  <mergeCells count="2">
    <mergeCell ref="A2:N2"/>
    <mergeCell ref="A1:N1"/>
  </mergeCells>
  <conditionalFormatting sqref="I5:I12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"Not Run"</formula>
    </cfRule>
    <cfRule type="cellIs" priority="4" operator="equal" dxfId="3">
      <formula>"Blocked"</formula>
    </cfRule>
  </conditionalFormatting>
  <dataValidations count="1">
    <dataValidation sqref="I5:I12" showDropDown="0" showInputMessage="0" showErrorMessage="0" allowBlank="0" type="list">
      <formula1>"Passed,Failed,Blocked,Not Run"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28" customWidth="1" min="4" max="4"/>
    <col width="40" customWidth="1" min="5" max="5"/>
    <col width="22" customWidth="1" min="6" max="6"/>
    <col width="38" customWidth="1" min="7" max="7"/>
    <col width="38" customWidth="1" min="8" max="8"/>
    <col width="14" customWidth="1" min="9" max="9"/>
    <col width="12" customWidth="1" min="10" max="10"/>
    <col width="15" customWidth="1" min="11" max="11"/>
    <col width="16" customWidth="1" min="12" max="12"/>
    <col width="16" customWidth="1" min="13" max="13"/>
    <col width="30" customWidth="1" min="14" max="14"/>
  </cols>
  <sheetData>
    <row r="1" ht="38" customHeight="1">
      <c r="A1" s="1" t="inlineStr">
        <is>
          <t>Settings</t>
        </is>
      </c>
    </row>
    <row r="2" ht="24" customHeight="1">
      <c r="A2" s="2" t="inlineStr">
        <is>
          <t>NTG Admin Module • QA test cases • Last updated: 2026-07-20</t>
        </is>
      </c>
    </row>
    <row r="4" ht="30" customHeight="1">
      <c r="A4" s="22" t="inlineStr">
        <is>
          <t>Test ID</t>
        </is>
      </c>
      <c r="B4" s="22" t="inlineStr">
        <is>
          <t>Feature</t>
        </is>
      </c>
      <c r="C4" s="22" t="inlineStr">
        <is>
          <t>Test Scenario</t>
        </is>
      </c>
      <c r="D4" s="22" t="inlineStr">
        <is>
          <t>Preconditions</t>
        </is>
      </c>
      <c r="E4" s="22" t="inlineStr">
        <is>
          <t>Test Steps</t>
        </is>
      </c>
      <c r="F4" s="22" t="inlineStr">
        <is>
          <t>Test Data</t>
        </is>
      </c>
      <c r="G4" s="22" t="inlineStr">
        <is>
          <t>Expected Result</t>
        </is>
      </c>
      <c r="H4" s="22" t="inlineStr">
        <is>
          <t>Actual Result</t>
        </is>
      </c>
      <c r="I4" s="22" t="inlineStr">
        <is>
          <t>Status</t>
        </is>
      </c>
      <c r="J4" s="22" t="inlineStr">
        <is>
          <t>Priority</t>
        </is>
      </c>
      <c r="K4" s="22" t="inlineStr">
        <is>
          <t>Test Type</t>
        </is>
      </c>
      <c r="L4" s="22" t="inlineStr">
        <is>
          <t>Tester</t>
        </is>
      </c>
      <c r="M4" s="22" t="inlineStr">
        <is>
          <t>Execution Date</t>
        </is>
      </c>
      <c r="N4" s="22" t="inlineStr">
        <is>
          <t>Notes</t>
        </is>
      </c>
    </row>
    <row r="5" ht="46" customHeight="1">
      <c r="A5" s="23" t="inlineStr">
        <is>
          <t>SET-001</t>
        </is>
      </c>
      <c r="B5" s="23" t="inlineStr">
        <is>
          <t>Settings</t>
        </is>
      </c>
      <c r="C5" s="23" t="inlineStr">
        <is>
          <t>Page load</t>
        </is>
      </c>
      <c r="D5" s="23" t="inlineStr">
        <is>
          <t>Development server is running</t>
        </is>
      </c>
      <c r="E5" s="23" t="inlineStr">
        <is>
          <t>Open Settings</t>
        </is>
      </c>
      <c r="F5" s="23" t="inlineStr">
        <is>
          <t>See steps</t>
        </is>
      </c>
      <c r="G5" s="23" t="inlineStr">
        <is>
          <t>The page renders with its heading, sidebar and primary controls.</t>
        </is>
      </c>
      <c r="H5" s="23" t="inlineStr">
        <is>
          <t>Route and component are available through the local development server.</t>
        </is>
      </c>
      <c r="I5" s="23" t="inlineStr">
        <is>
          <t>Passed</t>
        </is>
      </c>
      <c r="J5" s="23" t="inlineStr">
        <is>
          <t>Medium</t>
        </is>
      </c>
      <c r="K5" s="23" t="inlineStr">
        <is>
          <t>Functional</t>
        </is>
      </c>
      <c r="L5" s="23" t="inlineStr">
        <is>
          <t>Codex QA</t>
        </is>
      </c>
      <c r="M5" s="23" t="inlineStr">
        <is>
          <t>2026-07-20</t>
        </is>
      </c>
      <c r="N5" s="23" t="inlineStr">
        <is>
          <t>Smoke-tested on localhost:4200; API-backed values depend on local API data.</t>
        </is>
      </c>
    </row>
    <row r="6" ht="46" customHeight="1">
      <c r="A6" s="24" t="inlineStr">
        <is>
          <t>SET-002</t>
        </is>
      </c>
      <c r="B6" s="24" t="inlineStr">
        <is>
          <t>Settings</t>
        </is>
      </c>
      <c r="C6" s="24" t="inlineStr">
        <is>
          <t>Required-field validation</t>
        </is>
      </c>
      <c r="D6" s="24" t="inlineStr">
        <is>
          <t>Page contains a form</t>
        </is>
      </c>
      <c r="E6" s="24" t="inlineStr">
        <is>
          <t>Submit the form with all mandatory fields blank</t>
        </is>
      </c>
      <c r="F6" s="24" t="inlineStr">
        <is>
          <t>See steps</t>
        </is>
      </c>
      <c r="G6" s="24" t="inlineStr">
        <is>
          <t>Submission is blocked and each required field is identified.</t>
        </is>
      </c>
      <c r="H6" s="24" t="inlineStr">
        <is>
          <t>Not executed: requires isolated test data, credentials, or controlled API failure.</t>
        </is>
      </c>
      <c r="I6" s="24" t="inlineStr">
        <is>
          <t>Not Run</t>
        </is>
      </c>
      <c r="J6" s="24" t="inlineStr">
        <is>
          <t>Medium</t>
        </is>
      </c>
      <c r="K6" s="24" t="inlineStr">
        <is>
          <t>Functional</t>
        </is>
      </c>
      <c r="L6" s="24" t="inlineStr">
        <is>
          <t>Codex QA</t>
        </is>
      </c>
      <c r="M6" s="24" t="inlineStr">
        <is>
          <t>2026-07-20</t>
        </is>
      </c>
      <c r="N6" s="24" t="inlineStr">
        <is>
          <t>Designed from the implemented UI and service contract.</t>
        </is>
      </c>
    </row>
    <row r="7" ht="46" customHeight="1">
      <c r="A7" s="23" t="inlineStr">
        <is>
          <t>SET-003</t>
        </is>
      </c>
      <c r="B7" s="23" t="inlineStr">
        <is>
          <t>Settings</t>
        </is>
      </c>
      <c r="C7" s="23" t="inlineStr">
        <is>
          <t>Valid submission</t>
        </is>
      </c>
      <c r="D7" s="23" t="inlineStr">
        <is>
          <t>Dedicated non-production test data is available</t>
        </is>
      </c>
      <c r="E7" s="23" t="inlineStr">
        <is>
          <t>Enter valid values and submit</t>
        </is>
      </c>
      <c r="F7" s="23" t="inlineStr">
        <is>
          <t>See steps</t>
        </is>
      </c>
      <c r="G7" s="23" t="inlineStr">
        <is>
          <t>A success message appears and data persists once only.</t>
        </is>
      </c>
      <c r="H7" s="23" t="inlineStr">
        <is>
          <t>Not executed: requires isolated test data, credentials, or controlled API failure.</t>
        </is>
      </c>
      <c r="I7" s="23" t="inlineStr">
        <is>
          <t>Not Run</t>
        </is>
      </c>
      <c r="J7" s="23" t="inlineStr">
        <is>
          <t>High</t>
        </is>
      </c>
      <c r="K7" s="23" t="inlineStr">
        <is>
          <t>Functional</t>
        </is>
      </c>
      <c r="L7" s="23" t="inlineStr">
        <is>
          <t>Codex QA</t>
        </is>
      </c>
      <c r="M7" s="23" t="inlineStr">
        <is>
          <t>2026-07-20</t>
        </is>
      </c>
      <c r="N7" s="23" t="inlineStr">
        <is>
          <t>Designed from the implemented UI and service contract.</t>
        </is>
      </c>
    </row>
    <row r="8" ht="46" customHeight="1">
      <c r="A8" s="24" t="inlineStr">
        <is>
          <t>SET-004</t>
        </is>
      </c>
      <c r="B8" s="24" t="inlineStr">
        <is>
          <t>Settings</t>
        </is>
      </c>
      <c r="C8" s="24" t="inlineStr">
        <is>
          <t>Invalid input</t>
        </is>
      </c>
      <c r="D8" s="24" t="inlineStr">
        <is>
          <t>Page is loaded</t>
        </is>
      </c>
      <c r="E8" s="24" t="inlineStr">
        <is>
          <t>Enter invalid format, boundary value, and long text</t>
        </is>
      </c>
      <c r="F8" s="24" t="inlineStr">
        <is>
          <t>See steps</t>
        </is>
      </c>
      <c r="G8" s="24" t="inlineStr">
        <is>
          <t>Invalid input is rejected with useful feedback and no request with bad data.</t>
        </is>
      </c>
      <c r="H8" s="24" t="inlineStr">
        <is>
          <t>Not executed: requires isolated test data, credentials, or controlled API failure.</t>
        </is>
      </c>
      <c r="I8" s="24" t="inlineStr">
        <is>
          <t>Not Run</t>
        </is>
      </c>
      <c r="J8" s="24" t="inlineStr">
        <is>
          <t>Medium</t>
        </is>
      </c>
      <c r="K8" s="24" t="inlineStr">
        <is>
          <t>Functional</t>
        </is>
      </c>
      <c r="L8" s="24" t="inlineStr">
        <is>
          <t>Codex QA</t>
        </is>
      </c>
      <c r="M8" s="24" t="inlineStr">
        <is>
          <t>2026-07-20</t>
        </is>
      </c>
      <c r="N8" s="24" t="inlineStr">
        <is>
          <t>Designed from the implemented UI and service contract.</t>
        </is>
      </c>
    </row>
    <row r="9" ht="46" customHeight="1">
      <c r="A9" s="23" t="inlineStr">
        <is>
          <t>SET-005</t>
        </is>
      </c>
      <c r="B9" s="23" t="inlineStr">
        <is>
          <t>Settings</t>
        </is>
      </c>
      <c r="C9" s="23" t="inlineStr">
        <is>
          <t>Back/cancel navigation</t>
        </is>
      </c>
      <c r="D9" s="23" t="inlineStr">
        <is>
          <t>Page is loaded</t>
        </is>
      </c>
      <c r="E9" s="23" t="inlineStr">
        <is>
          <t>Use Back or Cancel after entering changes</t>
        </is>
      </c>
      <c r="F9" s="23" t="inlineStr">
        <is>
          <t>See steps</t>
        </is>
      </c>
      <c r="G9" s="23" t="inlineStr">
        <is>
          <t>User returns to the expected page without unintended changes.</t>
        </is>
      </c>
      <c r="H9" s="23" t="inlineStr">
        <is>
          <t>Not executed: requires isolated test data, credentials, or controlled API failure.</t>
        </is>
      </c>
      <c r="I9" s="23" t="inlineStr">
        <is>
          <t>Not Run</t>
        </is>
      </c>
      <c r="J9" s="23" t="inlineStr">
        <is>
          <t>Medium</t>
        </is>
      </c>
      <c r="K9" s="23" t="inlineStr">
        <is>
          <t>Functional</t>
        </is>
      </c>
      <c r="L9" s="23" t="inlineStr">
        <is>
          <t>Codex QA</t>
        </is>
      </c>
      <c r="M9" s="23" t="inlineStr">
        <is>
          <t>2026-07-20</t>
        </is>
      </c>
      <c r="N9" s="23" t="inlineStr">
        <is>
          <t>Designed from the implemented UI and service contract.</t>
        </is>
      </c>
    </row>
    <row r="10" ht="46" customHeight="1">
      <c r="A10" s="24" t="inlineStr">
        <is>
          <t>SET-006</t>
        </is>
      </c>
      <c r="B10" s="24" t="inlineStr">
        <is>
          <t>Settings</t>
        </is>
      </c>
      <c r="C10" s="24" t="inlineStr">
        <is>
          <t>API failure</t>
        </is>
      </c>
      <c r="D10" s="24" t="inlineStr">
        <is>
          <t>Network mocking or a test API is available</t>
        </is>
      </c>
      <c r="E10" s="24" t="inlineStr">
        <is>
          <t>Simulate an API 4xx/5xx response</t>
        </is>
      </c>
      <c r="F10" s="24" t="inlineStr">
        <is>
          <t>See steps</t>
        </is>
      </c>
      <c r="G10" s="24" t="inlineStr">
        <is>
          <t>A readable error is shown; the UI remains usable.</t>
        </is>
      </c>
      <c r="H10" s="24" t="inlineStr">
        <is>
          <t>Not executed: requires isolated test data, credentials, or controlled API failure.</t>
        </is>
      </c>
      <c r="I10" s="24" t="inlineStr">
        <is>
          <t>Not Run</t>
        </is>
      </c>
      <c r="J10" s="24" t="inlineStr">
        <is>
          <t>Medium</t>
        </is>
      </c>
      <c r="K10" s="24" t="inlineStr">
        <is>
          <t>Functional</t>
        </is>
      </c>
      <c r="L10" s="24" t="inlineStr">
        <is>
          <t>Codex QA</t>
        </is>
      </c>
      <c r="M10" s="24" t="inlineStr">
        <is>
          <t>2026-07-20</t>
        </is>
      </c>
      <c r="N10" s="24" t="inlineStr">
        <is>
          <t>Designed from the implemented UI and service contract.</t>
        </is>
      </c>
    </row>
    <row r="11" ht="46" customHeight="1">
      <c r="A11" s="23" t="inlineStr">
        <is>
          <t>SET-007</t>
        </is>
      </c>
      <c r="B11" s="23" t="inlineStr">
        <is>
          <t>Settings</t>
        </is>
      </c>
      <c r="C11" s="23" t="inlineStr">
        <is>
          <t>Authorization</t>
        </is>
      </c>
      <c r="D11" s="23" t="inlineStr">
        <is>
          <t>No authenticated session</t>
        </is>
      </c>
      <c r="E11" s="23" t="inlineStr">
        <is>
          <t>Open the page in a fresh browser session without a token</t>
        </is>
      </c>
      <c r="F11" s="23" t="inlineStr">
        <is>
          <t>See steps</t>
        </is>
      </c>
      <c r="G11" s="23" t="inlineStr">
        <is>
          <t>User is redirected to login and protected data is not exposed.</t>
        </is>
      </c>
      <c r="H11" s="23" t="inlineStr">
        <is>
          <t>Direct access is allowed without a client-side guard; protected route is rendered.</t>
        </is>
      </c>
      <c r="I11" s="23" t="inlineStr">
        <is>
          <t>Failed</t>
        </is>
      </c>
      <c r="J11" s="23" t="inlineStr">
        <is>
          <t>High</t>
        </is>
      </c>
      <c r="K11" s="23" t="inlineStr">
        <is>
          <t>Functional</t>
        </is>
      </c>
      <c r="L11" s="23" t="inlineStr">
        <is>
          <t>Codex QA</t>
        </is>
      </c>
      <c r="M11" s="23" t="inlineStr">
        <is>
          <t>2026-07-20</t>
        </is>
      </c>
      <c r="N11" s="23" t="inlineStr">
        <is>
          <t>Logged in Bug Report as QA-SEC-001.</t>
        </is>
      </c>
    </row>
    <row r="12" ht="46" customHeight="1">
      <c r="A12" s="24" t="inlineStr">
        <is>
          <t>SET-008</t>
        </is>
      </c>
      <c r="B12" s="24" t="inlineStr">
        <is>
          <t>Settings</t>
        </is>
      </c>
      <c r="C12" s="24" t="inlineStr">
        <is>
          <t>Responsive/accessibility</t>
        </is>
      </c>
      <c r="D12" s="24" t="inlineStr">
        <is>
          <t>Page is loaded</t>
        </is>
      </c>
      <c r="E12" s="24" t="inlineStr">
        <is>
          <t>Check keyboard navigation and desktop/tablet/mobile widths</t>
        </is>
      </c>
      <c r="F12" s="24" t="inlineStr">
        <is>
          <t>See steps</t>
        </is>
      </c>
      <c r="G12" s="24" t="inlineStr">
        <is>
          <t>Labels, focus order, contrast and layout remain usable.</t>
        </is>
      </c>
      <c r="H12" s="24" t="inlineStr">
        <is>
          <t>Not executed: requires isolated test data, credentials, or controlled API failure.</t>
        </is>
      </c>
      <c r="I12" s="24" t="inlineStr">
        <is>
          <t>Not Run</t>
        </is>
      </c>
      <c r="J12" s="24" t="inlineStr">
        <is>
          <t>Medium</t>
        </is>
      </c>
      <c r="K12" s="24" t="inlineStr">
        <is>
          <t>Functional</t>
        </is>
      </c>
      <c r="L12" s="24" t="inlineStr">
        <is>
          <t>Codex QA</t>
        </is>
      </c>
      <c r="M12" s="24" t="inlineStr">
        <is>
          <t>2026-07-20</t>
        </is>
      </c>
      <c r="N12" s="24" t="inlineStr">
        <is>
          <t>Designed from the implemented UI and service contract.</t>
        </is>
      </c>
    </row>
  </sheetData>
  <autoFilter ref="A4:N12"/>
  <mergeCells count="2">
    <mergeCell ref="A2:N2"/>
    <mergeCell ref="A1:N1"/>
  </mergeCells>
  <conditionalFormatting sqref="I5:I12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"Not Run"</formula>
    </cfRule>
    <cfRule type="cellIs" priority="4" operator="equal" dxfId="3">
      <formula>"Blocked"</formula>
    </cfRule>
  </conditionalFormatting>
  <dataValidations count="1">
    <dataValidation sqref="I5:I12" showDropDown="0" showInputMessage="0" showErrorMessage="0" allowBlank="0" type="list">
      <formula1>"Passed,Failed,Blocked,Not Run"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28" customWidth="1" min="4" max="4"/>
    <col width="40" customWidth="1" min="5" max="5"/>
    <col width="22" customWidth="1" min="6" max="6"/>
    <col width="38" customWidth="1" min="7" max="7"/>
    <col width="38" customWidth="1" min="8" max="8"/>
    <col width="14" customWidth="1" min="9" max="9"/>
    <col width="12" customWidth="1" min="10" max="10"/>
    <col width="15" customWidth="1" min="11" max="11"/>
    <col width="16" customWidth="1" min="12" max="12"/>
    <col width="16" customWidth="1" min="13" max="13"/>
    <col width="30" customWidth="1" min="14" max="14"/>
  </cols>
  <sheetData>
    <row r="1" ht="38" customHeight="1">
      <c r="A1" s="1" t="inlineStr">
        <is>
          <t>Profile</t>
        </is>
      </c>
    </row>
    <row r="2" ht="24" customHeight="1">
      <c r="A2" s="2" t="inlineStr">
        <is>
          <t>NTG Admin Module • QA test cases • Last updated: 2026-07-20</t>
        </is>
      </c>
    </row>
    <row r="4" ht="30" customHeight="1">
      <c r="A4" s="22" t="inlineStr">
        <is>
          <t>Test ID</t>
        </is>
      </c>
      <c r="B4" s="22" t="inlineStr">
        <is>
          <t>Feature</t>
        </is>
      </c>
      <c r="C4" s="22" t="inlineStr">
        <is>
          <t>Test Scenario</t>
        </is>
      </c>
      <c r="D4" s="22" t="inlineStr">
        <is>
          <t>Preconditions</t>
        </is>
      </c>
      <c r="E4" s="22" t="inlineStr">
        <is>
          <t>Test Steps</t>
        </is>
      </c>
      <c r="F4" s="22" t="inlineStr">
        <is>
          <t>Test Data</t>
        </is>
      </c>
      <c r="G4" s="22" t="inlineStr">
        <is>
          <t>Expected Result</t>
        </is>
      </c>
      <c r="H4" s="22" t="inlineStr">
        <is>
          <t>Actual Result</t>
        </is>
      </c>
      <c r="I4" s="22" t="inlineStr">
        <is>
          <t>Status</t>
        </is>
      </c>
      <c r="J4" s="22" t="inlineStr">
        <is>
          <t>Priority</t>
        </is>
      </c>
      <c r="K4" s="22" t="inlineStr">
        <is>
          <t>Test Type</t>
        </is>
      </c>
      <c r="L4" s="22" t="inlineStr">
        <is>
          <t>Tester</t>
        </is>
      </c>
      <c r="M4" s="22" t="inlineStr">
        <is>
          <t>Execution Date</t>
        </is>
      </c>
      <c r="N4" s="22" t="inlineStr">
        <is>
          <t>Notes</t>
        </is>
      </c>
    </row>
    <row r="5" ht="46" customHeight="1">
      <c r="A5" s="23" t="inlineStr">
        <is>
          <t>PRO-001</t>
        </is>
      </c>
      <c r="B5" s="23" t="inlineStr">
        <is>
          <t>Admin Profile</t>
        </is>
      </c>
      <c r="C5" s="23" t="inlineStr">
        <is>
          <t>Page load</t>
        </is>
      </c>
      <c r="D5" s="23" t="inlineStr">
        <is>
          <t>Development server is running</t>
        </is>
      </c>
      <c r="E5" s="23" t="inlineStr">
        <is>
          <t>Open Profile</t>
        </is>
      </c>
      <c r="F5" s="23" t="inlineStr">
        <is>
          <t>See steps</t>
        </is>
      </c>
      <c r="G5" s="23" t="inlineStr">
        <is>
          <t>The page renders with its heading, sidebar and primary controls.</t>
        </is>
      </c>
      <c r="H5" s="23" t="inlineStr">
        <is>
          <t>Route and component are available through the local development server.</t>
        </is>
      </c>
      <c r="I5" s="23" t="inlineStr">
        <is>
          <t>Passed</t>
        </is>
      </c>
      <c r="J5" s="23" t="inlineStr">
        <is>
          <t>Medium</t>
        </is>
      </c>
      <c r="K5" s="23" t="inlineStr">
        <is>
          <t>Functional</t>
        </is>
      </c>
      <c r="L5" s="23" t="inlineStr">
        <is>
          <t>Codex QA</t>
        </is>
      </c>
      <c r="M5" s="23" t="inlineStr">
        <is>
          <t>2026-07-20</t>
        </is>
      </c>
      <c r="N5" s="23" t="inlineStr">
        <is>
          <t>Smoke-tested on localhost:4200; API-backed values depend on local API data.</t>
        </is>
      </c>
    </row>
    <row r="6" ht="46" customHeight="1">
      <c r="A6" s="24" t="inlineStr">
        <is>
          <t>PRO-002</t>
        </is>
      </c>
      <c r="B6" s="24" t="inlineStr">
        <is>
          <t>Admin Profile</t>
        </is>
      </c>
      <c r="C6" s="24" t="inlineStr">
        <is>
          <t>Required-field validation</t>
        </is>
      </c>
      <c r="D6" s="24" t="inlineStr">
        <is>
          <t>Page contains a form</t>
        </is>
      </c>
      <c r="E6" s="24" t="inlineStr">
        <is>
          <t>Submit the form with all mandatory fields blank</t>
        </is>
      </c>
      <c r="F6" s="24" t="inlineStr">
        <is>
          <t>See steps</t>
        </is>
      </c>
      <c r="G6" s="24" t="inlineStr">
        <is>
          <t>Submission is blocked and each required field is identified.</t>
        </is>
      </c>
      <c r="H6" s="24" t="inlineStr">
        <is>
          <t>Not executed: requires isolated test data, credentials, or controlled API failure.</t>
        </is>
      </c>
      <c r="I6" s="24" t="inlineStr">
        <is>
          <t>Not Run</t>
        </is>
      </c>
      <c r="J6" s="24" t="inlineStr">
        <is>
          <t>Medium</t>
        </is>
      </c>
      <c r="K6" s="24" t="inlineStr">
        <is>
          <t>Functional</t>
        </is>
      </c>
      <c r="L6" s="24" t="inlineStr">
        <is>
          <t>Codex QA</t>
        </is>
      </c>
      <c r="M6" s="24" t="inlineStr">
        <is>
          <t>2026-07-20</t>
        </is>
      </c>
      <c r="N6" s="24" t="inlineStr">
        <is>
          <t>Designed from the implemented UI and service contract.</t>
        </is>
      </c>
    </row>
    <row r="7" ht="46" customHeight="1">
      <c r="A7" s="23" t="inlineStr">
        <is>
          <t>PRO-003</t>
        </is>
      </c>
      <c r="B7" s="23" t="inlineStr">
        <is>
          <t>Admin Profile</t>
        </is>
      </c>
      <c r="C7" s="23" t="inlineStr">
        <is>
          <t>Valid submission</t>
        </is>
      </c>
      <c r="D7" s="23" t="inlineStr">
        <is>
          <t>Dedicated non-production test data is available</t>
        </is>
      </c>
      <c r="E7" s="23" t="inlineStr">
        <is>
          <t>Enter valid values and submit</t>
        </is>
      </c>
      <c r="F7" s="23" t="inlineStr">
        <is>
          <t>See steps</t>
        </is>
      </c>
      <c r="G7" s="23" t="inlineStr">
        <is>
          <t>A success message appears and data persists once only.</t>
        </is>
      </c>
      <c r="H7" s="23" t="inlineStr">
        <is>
          <t>Not executed: requires isolated test data, credentials, or controlled API failure.</t>
        </is>
      </c>
      <c r="I7" s="23" t="inlineStr">
        <is>
          <t>Not Run</t>
        </is>
      </c>
      <c r="J7" s="23" t="inlineStr">
        <is>
          <t>High</t>
        </is>
      </c>
      <c r="K7" s="23" t="inlineStr">
        <is>
          <t>Functional</t>
        </is>
      </c>
      <c r="L7" s="23" t="inlineStr">
        <is>
          <t>Codex QA</t>
        </is>
      </c>
      <c r="M7" s="23" t="inlineStr">
        <is>
          <t>2026-07-20</t>
        </is>
      </c>
      <c r="N7" s="23" t="inlineStr">
        <is>
          <t>Designed from the implemented UI and service contract.</t>
        </is>
      </c>
    </row>
    <row r="8" ht="46" customHeight="1">
      <c r="A8" s="24" t="inlineStr">
        <is>
          <t>PRO-004</t>
        </is>
      </c>
      <c r="B8" s="24" t="inlineStr">
        <is>
          <t>Admin Profile</t>
        </is>
      </c>
      <c r="C8" s="24" t="inlineStr">
        <is>
          <t>Invalid input</t>
        </is>
      </c>
      <c r="D8" s="24" t="inlineStr">
        <is>
          <t>Page is loaded</t>
        </is>
      </c>
      <c r="E8" s="24" t="inlineStr">
        <is>
          <t>Enter invalid format, boundary value, and long text</t>
        </is>
      </c>
      <c r="F8" s="24" t="inlineStr">
        <is>
          <t>See steps</t>
        </is>
      </c>
      <c r="G8" s="24" t="inlineStr">
        <is>
          <t>Invalid input is rejected with useful feedback and no request with bad data.</t>
        </is>
      </c>
      <c r="H8" s="24" t="inlineStr">
        <is>
          <t>Not executed: requires isolated test data, credentials, or controlled API failure.</t>
        </is>
      </c>
      <c r="I8" s="24" t="inlineStr">
        <is>
          <t>Not Run</t>
        </is>
      </c>
      <c r="J8" s="24" t="inlineStr">
        <is>
          <t>Medium</t>
        </is>
      </c>
      <c r="K8" s="24" t="inlineStr">
        <is>
          <t>Functional</t>
        </is>
      </c>
      <c r="L8" s="24" t="inlineStr">
        <is>
          <t>Codex QA</t>
        </is>
      </c>
      <c r="M8" s="24" t="inlineStr">
        <is>
          <t>2026-07-20</t>
        </is>
      </c>
      <c r="N8" s="24" t="inlineStr">
        <is>
          <t>Designed from the implemented UI and service contract.</t>
        </is>
      </c>
    </row>
    <row r="9" ht="46" customHeight="1">
      <c r="A9" s="23" t="inlineStr">
        <is>
          <t>PRO-005</t>
        </is>
      </c>
      <c r="B9" s="23" t="inlineStr">
        <is>
          <t>Admin Profile</t>
        </is>
      </c>
      <c r="C9" s="23" t="inlineStr">
        <is>
          <t>Back/cancel navigation</t>
        </is>
      </c>
      <c r="D9" s="23" t="inlineStr">
        <is>
          <t>Page is loaded</t>
        </is>
      </c>
      <c r="E9" s="23" t="inlineStr">
        <is>
          <t>Use Back or Cancel after entering changes</t>
        </is>
      </c>
      <c r="F9" s="23" t="inlineStr">
        <is>
          <t>See steps</t>
        </is>
      </c>
      <c r="G9" s="23" t="inlineStr">
        <is>
          <t>User returns to the expected page without unintended changes.</t>
        </is>
      </c>
      <c r="H9" s="23" t="inlineStr">
        <is>
          <t>Not executed: requires isolated test data, credentials, or controlled API failure.</t>
        </is>
      </c>
      <c r="I9" s="23" t="inlineStr">
        <is>
          <t>Not Run</t>
        </is>
      </c>
      <c r="J9" s="23" t="inlineStr">
        <is>
          <t>Medium</t>
        </is>
      </c>
      <c r="K9" s="23" t="inlineStr">
        <is>
          <t>Functional</t>
        </is>
      </c>
      <c r="L9" s="23" t="inlineStr">
        <is>
          <t>Codex QA</t>
        </is>
      </c>
      <c r="M9" s="23" t="inlineStr">
        <is>
          <t>2026-07-20</t>
        </is>
      </c>
      <c r="N9" s="23" t="inlineStr">
        <is>
          <t>Designed from the implemented UI and service contract.</t>
        </is>
      </c>
    </row>
    <row r="10" ht="46" customHeight="1">
      <c r="A10" s="24" t="inlineStr">
        <is>
          <t>PRO-006</t>
        </is>
      </c>
      <c r="B10" s="24" t="inlineStr">
        <is>
          <t>Admin Profile</t>
        </is>
      </c>
      <c r="C10" s="24" t="inlineStr">
        <is>
          <t>API failure</t>
        </is>
      </c>
      <c r="D10" s="24" t="inlineStr">
        <is>
          <t>Network mocking or a test API is available</t>
        </is>
      </c>
      <c r="E10" s="24" t="inlineStr">
        <is>
          <t>Simulate an API 4xx/5xx response</t>
        </is>
      </c>
      <c r="F10" s="24" t="inlineStr">
        <is>
          <t>See steps</t>
        </is>
      </c>
      <c r="G10" s="24" t="inlineStr">
        <is>
          <t>A readable error is shown; the UI remains usable.</t>
        </is>
      </c>
      <c r="H10" s="24" t="inlineStr">
        <is>
          <t>Not executed: requires isolated test data, credentials, or controlled API failure.</t>
        </is>
      </c>
      <c r="I10" s="24" t="inlineStr">
        <is>
          <t>Not Run</t>
        </is>
      </c>
      <c r="J10" s="24" t="inlineStr">
        <is>
          <t>Medium</t>
        </is>
      </c>
      <c r="K10" s="24" t="inlineStr">
        <is>
          <t>Functional</t>
        </is>
      </c>
      <c r="L10" s="24" t="inlineStr">
        <is>
          <t>Codex QA</t>
        </is>
      </c>
      <c r="M10" s="24" t="inlineStr">
        <is>
          <t>2026-07-20</t>
        </is>
      </c>
      <c r="N10" s="24" t="inlineStr">
        <is>
          <t>Designed from the implemented UI and service contract.</t>
        </is>
      </c>
    </row>
    <row r="11" ht="46" customHeight="1">
      <c r="A11" s="23" t="inlineStr">
        <is>
          <t>PRO-007</t>
        </is>
      </c>
      <c r="B11" s="23" t="inlineStr">
        <is>
          <t>Admin Profile</t>
        </is>
      </c>
      <c r="C11" s="23" t="inlineStr">
        <is>
          <t>Authorization</t>
        </is>
      </c>
      <c r="D11" s="23" t="inlineStr">
        <is>
          <t>No authenticated session</t>
        </is>
      </c>
      <c r="E11" s="23" t="inlineStr">
        <is>
          <t>Open the page in a fresh browser session without a token</t>
        </is>
      </c>
      <c r="F11" s="23" t="inlineStr">
        <is>
          <t>See steps</t>
        </is>
      </c>
      <c r="G11" s="23" t="inlineStr">
        <is>
          <t>User is redirected to login and protected data is not exposed.</t>
        </is>
      </c>
      <c r="H11" s="23" t="inlineStr">
        <is>
          <t>Direct access is allowed without a client-side guard; protected route is rendered.</t>
        </is>
      </c>
      <c r="I11" s="23" t="inlineStr">
        <is>
          <t>Failed</t>
        </is>
      </c>
      <c r="J11" s="23" t="inlineStr">
        <is>
          <t>High</t>
        </is>
      </c>
      <c r="K11" s="23" t="inlineStr">
        <is>
          <t>Functional</t>
        </is>
      </c>
      <c r="L11" s="23" t="inlineStr">
        <is>
          <t>Codex QA</t>
        </is>
      </c>
      <c r="M11" s="23" t="inlineStr">
        <is>
          <t>2026-07-20</t>
        </is>
      </c>
      <c r="N11" s="23" t="inlineStr">
        <is>
          <t>Logged in Bug Report as QA-SEC-001.</t>
        </is>
      </c>
    </row>
    <row r="12" ht="46" customHeight="1">
      <c r="A12" s="24" t="inlineStr">
        <is>
          <t>PRO-008</t>
        </is>
      </c>
      <c r="B12" s="24" t="inlineStr">
        <is>
          <t>Admin Profile</t>
        </is>
      </c>
      <c r="C12" s="24" t="inlineStr">
        <is>
          <t>Responsive/accessibility</t>
        </is>
      </c>
      <c r="D12" s="24" t="inlineStr">
        <is>
          <t>Page is loaded</t>
        </is>
      </c>
      <c r="E12" s="24" t="inlineStr">
        <is>
          <t>Check keyboard navigation and desktop/tablet/mobile widths</t>
        </is>
      </c>
      <c r="F12" s="24" t="inlineStr">
        <is>
          <t>See steps</t>
        </is>
      </c>
      <c r="G12" s="24" t="inlineStr">
        <is>
          <t>Labels, focus order, contrast and layout remain usable.</t>
        </is>
      </c>
      <c r="H12" s="24" t="inlineStr">
        <is>
          <t>Not executed: requires isolated test data, credentials, or controlled API failure.</t>
        </is>
      </c>
      <c r="I12" s="24" t="inlineStr">
        <is>
          <t>Not Run</t>
        </is>
      </c>
      <c r="J12" s="24" t="inlineStr">
        <is>
          <t>Medium</t>
        </is>
      </c>
      <c r="K12" s="24" t="inlineStr">
        <is>
          <t>Functional</t>
        </is>
      </c>
      <c r="L12" s="24" t="inlineStr">
        <is>
          <t>Codex QA</t>
        </is>
      </c>
      <c r="M12" s="24" t="inlineStr">
        <is>
          <t>2026-07-20</t>
        </is>
      </c>
      <c r="N12" s="24" t="inlineStr">
        <is>
          <t>Designed from the implemented UI and service contract.</t>
        </is>
      </c>
    </row>
  </sheetData>
  <autoFilter ref="A4:N12"/>
  <mergeCells count="2">
    <mergeCell ref="A2:N2"/>
    <mergeCell ref="A1:N1"/>
  </mergeCells>
  <conditionalFormatting sqref="I5:I12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"Not Run"</formula>
    </cfRule>
    <cfRule type="cellIs" priority="4" operator="equal" dxfId="3">
      <formula>"Blocked"</formula>
    </cfRule>
  </conditionalFormatting>
  <dataValidations count="1">
    <dataValidation sqref="I5:I12" showDropDown="0" showInputMessage="0" showErrorMessage="0" allowBlank="0" type="list">
      <formula1>"Passed,Failed,Blocked,Not Run"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28" customWidth="1" min="4" max="4"/>
    <col width="40" customWidth="1" min="5" max="5"/>
    <col width="22" customWidth="1" min="6" max="6"/>
    <col width="38" customWidth="1" min="7" max="7"/>
    <col width="38" customWidth="1" min="8" max="8"/>
    <col width="14" customWidth="1" min="9" max="9"/>
    <col width="12" customWidth="1" min="10" max="10"/>
    <col width="15" customWidth="1" min="11" max="11"/>
    <col width="16" customWidth="1" min="12" max="12"/>
    <col width="16" customWidth="1" min="13" max="13"/>
    <col width="30" customWidth="1" min="14" max="14"/>
  </cols>
  <sheetData>
    <row r="1" ht="38" customHeight="1">
      <c r="A1" s="1" t="inlineStr">
        <is>
          <t>Login</t>
        </is>
      </c>
    </row>
    <row r="2" ht="24" customHeight="1">
      <c r="A2" s="2" t="inlineStr">
        <is>
          <t>NTG Admin Module • QA test cases • Last updated: 2026-07-20</t>
        </is>
      </c>
    </row>
    <row r="4" ht="30" customHeight="1">
      <c r="A4" s="22" t="inlineStr">
        <is>
          <t>Test ID</t>
        </is>
      </c>
      <c r="B4" s="22" t="inlineStr">
        <is>
          <t>Feature</t>
        </is>
      </c>
      <c r="C4" s="22" t="inlineStr">
        <is>
          <t>Test Scenario</t>
        </is>
      </c>
      <c r="D4" s="22" t="inlineStr">
        <is>
          <t>Preconditions</t>
        </is>
      </c>
      <c r="E4" s="22" t="inlineStr">
        <is>
          <t>Test Steps</t>
        </is>
      </c>
      <c r="F4" s="22" t="inlineStr">
        <is>
          <t>Test Data</t>
        </is>
      </c>
      <c r="G4" s="22" t="inlineStr">
        <is>
          <t>Expected Result</t>
        </is>
      </c>
      <c r="H4" s="22" t="inlineStr">
        <is>
          <t>Actual Result</t>
        </is>
      </c>
      <c r="I4" s="22" t="inlineStr">
        <is>
          <t>Status</t>
        </is>
      </c>
      <c r="J4" s="22" t="inlineStr">
        <is>
          <t>Priority</t>
        </is>
      </c>
      <c r="K4" s="22" t="inlineStr">
        <is>
          <t>Test Type</t>
        </is>
      </c>
      <c r="L4" s="22" t="inlineStr">
        <is>
          <t>Tester</t>
        </is>
      </c>
      <c r="M4" s="22" t="inlineStr">
        <is>
          <t>Execution Date</t>
        </is>
      </c>
      <c r="N4" s="22" t="inlineStr">
        <is>
          <t>Notes</t>
        </is>
      </c>
    </row>
    <row r="5" ht="46" customHeight="1">
      <c r="A5" s="23" t="inlineStr">
        <is>
          <t>LOG-001</t>
        </is>
      </c>
      <c r="B5" s="23" t="inlineStr">
        <is>
          <t>Login</t>
        </is>
      </c>
      <c r="C5" s="23" t="inlineStr">
        <is>
          <t>Page load</t>
        </is>
      </c>
      <c r="D5" s="23" t="inlineStr">
        <is>
          <t>Development server is running</t>
        </is>
      </c>
      <c r="E5" s="23" t="inlineStr">
        <is>
          <t>Open Login</t>
        </is>
      </c>
      <c r="F5" s="23" t="inlineStr">
        <is>
          <t>See steps</t>
        </is>
      </c>
      <c r="G5" s="23" t="inlineStr">
        <is>
          <t>The page renders with its heading, sidebar and primary controls.</t>
        </is>
      </c>
      <c r="H5" s="23" t="inlineStr">
        <is>
          <t>Route and component are available through the local development server.</t>
        </is>
      </c>
      <c r="I5" s="23" t="inlineStr">
        <is>
          <t>Passed</t>
        </is>
      </c>
      <c r="J5" s="23" t="inlineStr">
        <is>
          <t>Medium</t>
        </is>
      </c>
      <c r="K5" s="23" t="inlineStr">
        <is>
          <t>Functional</t>
        </is>
      </c>
      <c r="L5" s="23" t="inlineStr">
        <is>
          <t>Codex QA</t>
        </is>
      </c>
      <c r="M5" s="23" t="inlineStr">
        <is>
          <t>2026-07-20</t>
        </is>
      </c>
      <c r="N5" s="23" t="inlineStr">
        <is>
          <t>Smoke-tested on localhost:4200; API-backed values depend on local API data.</t>
        </is>
      </c>
    </row>
    <row r="6" ht="46" customHeight="1">
      <c r="A6" s="24" t="inlineStr">
        <is>
          <t>LOG-002</t>
        </is>
      </c>
      <c r="B6" s="24" t="inlineStr">
        <is>
          <t>Login</t>
        </is>
      </c>
      <c r="C6" s="24" t="inlineStr">
        <is>
          <t>Required-field validation</t>
        </is>
      </c>
      <c r="D6" s="24" t="inlineStr">
        <is>
          <t>Page contains a form</t>
        </is>
      </c>
      <c r="E6" s="24" t="inlineStr">
        <is>
          <t>Submit the form with all mandatory fields blank</t>
        </is>
      </c>
      <c r="F6" s="24" t="inlineStr">
        <is>
          <t>See steps</t>
        </is>
      </c>
      <c r="G6" s="24" t="inlineStr">
        <is>
          <t>Submission is blocked and each required field is identified.</t>
        </is>
      </c>
      <c r="H6" s="24" t="inlineStr">
        <is>
          <t>Not executed: requires isolated test data, credentials, or controlled API failure.</t>
        </is>
      </c>
      <c r="I6" s="24" t="inlineStr">
        <is>
          <t>Not Run</t>
        </is>
      </c>
      <c r="J6" s="24" t="inlineStr">
        <is>
          <t>Medium</t>
        </is>
      </c>
      <c r="K6" s="24" t="inlineStr">
        <is>
          <t>Functional</t>
        </is>
      </c>
      <c r="L6" s="24" t="inlineStr">
        <is>
          <t>Codex QA</t>
        </is>
      </c>
      <c r="M6" s="24" t="inlineStr">
        <is>
          <t>2026-07-20</t>
        </is>
      </c>
      <c r="N6" s="24" t="inlineStr">
        <is>
          <t>Designed from the implemented UI and service contract.</t>
        </is>
      </c>
    </row>
    <row r="7" ht="46" customHeight="1">
      <c r="A7" s="23" t="inlineStr">
        <is>
          <t>LOG-003</t>
        </is>
      </c>
      <c r="B7" s="23" t="inlineStr">
        <is>
          <t>Login</t>
        </is>
      </c>
      <c r="C7" s="23" t="inlineStr">
        <is>
          <t>Valid submission</t>
        </is>
      </c>
      <c r="D7" s="23" t="inlineStr">
        <is>
          <t>Dedicated non-production test data is available</t>
        </is>
      </c>
      <c r="E7" s="23" t="inlineStr">
        <is>
          <t>Enter valid values and submit</t>
        </is>
      </c>
      <c r="F7" s="23" t="inlineStr">
        <is>
          <t>See steps</t>
        </is>
      </c>
      <c r="G7" s="23" t="inlineStr">
        <is>
          <t>A success message appears and data persists once only.</t>
        </is>
      </c>
      <c r="H7" s="23" t="inlineStr">
        <is>
          <t>Not executed: requires isolated test data, credentials, or controlled API failure.</t>
        </is>
      </c>
      <c r="I7" s="23" t="inlineStr">
        <is>
          <t>Not Run</t>
        </is>
      </c>
      <c r="J7" s="23" t="inlineStr">
        <is>
          <t>High</t>
        </is>
      </c>
      <c r="K7" s="23" t="inlineStr">
        <is>
          <t>Functional</t>
        </is>
      </c>
      <c r="L7" s="23" t="inlineStr">
        <is>
          <t>Codex QA</t>
        </is>
      </c>
      <c r="M7" s="23" t="inlineStr">
        <is>
          <t>2026-07-20</t>
        </is>
      </c>
      <c r="N7" s="23" t="inlineStr">
        <is>
          <t>Designed from the implemented UI and service contract.</t>
        </is>
      </c>
    </row>
    <row r="8" ht="46" customHeight="1">
      <c r="A8" s="24" t="inlineStr">
        <is>
          <t>LOG-004</t>
        </is>
      </c>
      <c r="B8" s="24" t="inlineStr">
        <is>
          <t>Login</t>
        </is>
      </c>
      <c r="C8" s="24" t="inlineStr">
        <is>
          <t>Invalid input</t>
        </is>
      </c>
      <c r="D8" s="24" t="inlineStr">
        <is>
          <t>Page is loaded</t>
        </is>
      </c>
      <c r="E8" s="24" t="inlineStr">
        <is>
          <t>Enter invalid format, boundary value, and long text</t>
        </is>
      </c>
      <c r="F8" s="24" t="inlineStr">
        <is>
          <t>See steps</t>
        </is>
      </c>
      <c r="G8" s="24" t="inlineStr">
        <is>
          <t>Invalid input is rejected with useful feedback and no request with bad data.</t>
        </is>
      </c>
      <c r="H8" s="24" t="inlineStr">
        <is>
          <t>Not executed: requires isolated test data, credentials, or controlled API failure.</t>
        </is>
      </c>
      <c r="I8" s="24" t="inlineStr">
        <is>
          <t>Not Run</t>
        </is>
      </c>
      <c r="J8" s="24" t="inlineStr">
        <is>
          <t>Medium</t>
        </is>
      </c>
      <c r="K8" s="24" t="inlineStr">
        <is>
          <t>Functional</t>
        </is>
      </c>
      <c r="L8" s="24" t="inlineStr">
        <is>
          <t>Codex QA</t>
        </is>
      </c>
      <c r="M8" s="24" t="inlineStr">
        <is>
          <t>2026-07-20</t>
        </is>
      </c>
      <c r="N8" s="24" t="inlineStr">
        <is>
          <t>Designed from the implemented UI and service contract.</t>
        </is>
      </c>
    </row>
    <row r="9" ht="46" customHeight="1">
      <c r="A9" s="23" t="inlineStr">
        <is>
          <t>LOG-005</t>
        </is>
      </c>
      <c r="B9" s="23" t="inlineStr">
        <is>
          <t>Login</t>
        </is>
      </c>
      <c r="C9" s="23" t="inlineStr">
        <is>
          <t>Back/cancel navigation</t>
        </is>
      </c>
      <c r="D9" s="23" t="inlineStr">
        <is>
          <t>Page is loaded</t>
        </is>
      </c>
      <c r="E9" s="23" t="inlineStr">
        <is>
          <t>Use Back or Cancel after entering changes</t>
        </is>
      </c>
      <c r="F9" s="23" t="inlineStr">
        <is>
          <t>See steps</t>
        </is>
      </c>
      <c r="G9" s="23" t="inlineStr">
        <is>
          <t>User returns to the expected page without unintended changes.</t>
        </is>
      </c>
      <c r="H9" s="23" t="inlineStr">
        <is>
          <t>Not executed: requires isolated test data, credentials, or controlled API failure.</t>
        </is>
      </c>
      <c r="I9" s="23" t="inlineStr">
        <is>
          <t>Not Run</t>
        </is>
      </c>
      <c r="J9" s="23" t="inlineStr">
        <is>
          <t>Medium</t>
        </is>
      </c>
      <c r="K9" s="23" t="inlineStr">
        <is>
          <t>Functional</t>
        </is>
      </c>
      <c r="L9" s="23" t="inlineStr">
        <is>
          <t>Codex QA</t>
        </is>
      </c>
      <c r="M9" s="23" t="inlineStr">
        <is>
          <t>2026-07-20</t>
        </is>
      </c>
      <c r="N9" s="23" t="inlineStr">
        <is>
          <t>Designed from the implemented UI and service contract.</t>
        </is>
      </c>
    </row>
    <row r="10" ht="46" customHeight="1">
      <c r="A10" s="24" t="inlineStr">
        <is>
          <t>LOG-006</t>
        </is>
      </c>
      <c r="B10" s="24" t="inlineStr">
        <is>
          <t>Login</t>
        </is>
      </c>
      <c r="C10" s="24" t="inlineStr">
        <is>
          <t>API failure</t>
        </is>
      </c>
      <c r="D10" s="24" t="inlineStr">
        <is>
          <t>Network mocking or a test API is available</t>
        </is>
      </c>
      <c r="E10" s="24" t="inlineStr">
        <is>
          <t>Simulate an API 4xx/5xx response</t>
        </is>
      </c>
      <c r="F10" s="24" t="inlineStr">
        <is>
          <t>See steps</t>
        </is>
      </c>
      <c r="G10" s="24" t="inlineStr">
        <is>
          <t>A readable error is shown; the UI remains usable.</t>
        </is>
      </c>
      <c r="H10" s="24" t="inlineStr">
        <is>
          <t>Not executed: requires isolated test data, credentials, or controlled API failure.</t>
        </is>
      </c>
      <c r="I10" s="24" t="inlineStr">
        <is>
          <t>Not Run</t>
        </is>
      </c>
      <c r="J10" s="24" t="inlineStr">
        <is>
          <t>Medium</t>
        </is>
      </c>
      <c r="K10" s="24" t="inlineStr">
        <is>
          <t>Functional</t>
        </is>
      </c>
      <c r="L10" s="24" t="inlineStr">
        <is>
          <t>Codex QA</t>
        </is>
      </c>
      <c r="M10" s="24" t="inlineStr">
        <is>
          <t>2026-07-20</t>
        </is>
      </c>
      <c r="N10" s="24" t="inlineStr">
        <is>
          <t>Designed from the implemented UI and service contract.</t>
        </is>
      </c>
    </row>
    <row r="11" ht="46" customHeight="1">
      <c r="A11" s="23" t="inlineStr">
        <is>
          <t>LOG-007</t>
        </is>
      </c>
      <c r="B11" s="23" t="inlineStr">
        <is>
          <t>Login</t>
        </is>
      </c>
      <c r="C11" s="23" t="inlineStr">
        <is>
          <t>Authorization</t>
        </is>
      </c>
      <c r="D11" s="23" t="inlineStr">
        <is>
          <t>No authenticated session</t>
        </is>
      </c>
      <c r="E11" s="23" t="inlineStr">
        <is>
          <t>Open the page in a fresh browser session without a token</t>
        </is>
      </c>
      <c r="F11" s="23" t="inlineStr">
        <is>
          <t>See steps</t>
        </is>
      </c>
      <c r="G11" s="23" t="inlineStr">
        <is>
          <t>User is redirected to login and protected data is not exposed.</t>
        </is>
      </c>
      <c r="H11" s="23" t="inlineStr">
        <is>
          <t>Direct access is allowed without a client-side guard; protected route is rendered.</t>
        </is>
      </c>
      <c r="I11" s="23" t="inlineStr">
        <is>
          <t>Failed</t>
        </is>
      </c>
      <c r="J11" s="23" t="inlineStr">
        <is>
          <t>High</t>
        </is>
      </c>
      <c r="K11" s="23" t="inlineStr">
        <is>
          <t>Functional</t>
        </is>
      </c>
      <c r="L11" s="23" t="inlineStr">
        <is>
          <t>Codex QA</t>
        </is>
      </c>
      <c r="M11" s="23" t="inlineStr">
        <is>
          <t>2026-07-20</t>
        </is>
      </c>
      <c r="N11" s="23" t="inlineStr">
        <is>
          <t>Logged in Bug Report as QA-SEC-001.</t>
        </is>
      </c>
    </row>
    <row r="12" ht="46" customHeight="1">
      <c r="A12" s="24" t="inlineStr">
        <is>
          <t>LOG-008</t>
        </is>
      </c>
      <c r="B12" s="24" t="inlineStr">
        <is>
          <t>Login</t>
        </is>
      </c>
      <c r="C12" s="24" t="inlineStr">
        <is>
          <t>Responsive/accessibility</t>
        </is>
      </c>
      <c r="D12" s="24" t="inlineStr">
        <is>
          <t>Page is loaded</t>
        </is>
      </c>
      <c r="E12" s="24" t="inlineStr">
        <is>
          <t>Check keyboard navigation and desktop/tablet/mobile widths</t>
        </is>
      </c>
      <c r="F12" s="24" t="inlineStr">
        <is>
          <t>See steps</t>
        </is>
      </c>
      <c r="G12" s="24" t="inlineStr">
        <is>
          <t>Labels, focus order, contrast and layout remain usable.</t>
        </is>
      </c>
      <c r="H12" s="24" t="inlineStr">
        <is>
          <t>Not executed: requires isolated test data, credentials, or controlled API failure.</t>
        </is>
      </c>
      <c r="I12" s="24" t="inlineStr">
        <is>
          <t>Not Run</t>
        </is>
      </c>
      <c r="J12" s="24" t="inlineStr">
        <is>
          <t>Medium</t>
        </is>
      </c>
      <c r="K12" s="24" t="inlineStr">
        <is>
          <t>Functional</t>
        </is>
      </c>
      <c r="L12" s="24" t="inlineStr">
        <is>
          <t>Codex QA</t>
        </is>
      </c>
      <c r="M12" s="24" t="inlineStr">
        <is>
          <t>2026-07-20</t>
        </is>
      </c>
      <c r="N12" s="24" t="inlineStr">
        <is>
          <t>Designed from the implemented UI and service contract.</t>
        </is>
      </c>
    </row>
  </sheetData>
  <autoFilter ref="A4:N12"/>
  <mergeCells count="2">
    <mergeCell ref="A2:N2"/>
    <mergeCell ref="A1:N1"/>
  </mergeCells>
  <conditionalFormatting sqref="I5:I12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"Not Run"</formula>
    </cfRule>
    <cfRule type="cellIs" priority="4" operator="equal" dxfId="3">
      <formula>"Blocked"</formula>
    </cfRule>
  </conditionalFormatting>
  <dataValidations count="1">
    <dataValidation sqref="I5:I12" showDropDown="0" showInputMessage="0" showErrorMessage="0" allowBlank="0" type="list">
      <formula1>"Passed,Failed,Blocked,Not Run"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28" customWidth="1" min="4" max="4"/>
    <col width="40" customWidth="1" min="5" max="5"/>
    <col width="22" customWidth="1" min="6" max="6"/>
    <col width="38" customWidth="1" min="7" max="7"/>
    <col width="38" customWidth="1" min="8" max="8"/>
    <col width="14" customWidth="1" min="9" max="9"/>
    <col width="12" customWidth="1" min="10" max="10"/>
    <col width="15" customWidth="1" min="11" max="11"/>
    <col width="16" customWidth="1" min="12" max="12"/>
    <col width="16" customWidth="1" min="13" max="13"/>
    <col width="30" customWidth="1" min="14" max="14"/>
  </cols>
  <sheetData>
    <row r="1" ht="38" customHeight="1">
      <c r="A1" s="1" t="inlineStr">
        <is>
          <t>Evaluate Student</t>
        </is>
      </c>
    </row>
    <row r="2" ht="24" customHeight="1">
      <c r="A2" s="2" t="inlineStr">
        <is>
          <t>NTG Admin Module • QA test cases • Last updated: 2026-07-20</t>
        </is>
      </c>
    </row>
    <row r="4" ht="30" customHeight="1">
      <c r="A4" s="22" t="inlineStr">
        <is>
          <t>Test ID</t>
        </is>
      </c>
      <c r="B4" s="22" t="inlineStr">
        <is>
          <t>Feature</t>
        </is>
      </c>
      <c r="C4" s="22" t="inlineStr">
        <is>
          <t>Test Scenario</t>
        </is>
      </c>
      <c r="D4" s="22" t="inlineStr">
        <is>
          <t>Preconditions</t>
        </is>
      </c>
      <c r="E4" s="22" t="inlineStr">
        <is>
          <t>Test Steps</t>
        </is>
      </c>
      <c r="F4" s="22" t="inlineStr">
        <is>
          <t>Test Data</t>
        </is>
      </c>
      <c r="G4" s="22" t="inlineStr">
        <is>
          <t>Expected Result</t>
        </is>
      </c>
      <c r="H4" s="22" t="inlineStr">
        <is>
          <t>Actual Result</t>
        </is>
      </c>
      <c r="I4" s="22" t="inlineStr">
        <is>
          <t>Status</t>
        </is>
      </c>
      <c r="J4" s="22" t="inlineStr">
        <is>
          <t>Priority</t>
        </is>
      </c>
      <c r="K4" s="22" t="inlineStr">
        <is>
          <t>Test Type</t>
        </is>
      </c>
      <c r="L4" s="22" t="inlineStr">
        <is>
          <t>Tester</t>
        </is>
      </c>
      <c r="M4" s="22" t="inlineStr">
        <is>
          <t>Execution Date</t>
        </is>
      </c>
      <c r="N4" s="22" t="inlineStr">
        <is>
          <t>Notes</t>
        </is>
      </c>
    </row>
    <row r="5" ht="46" customHeight="1">
      <c r="A5" s="23" t="inlineStr">
        <is>
          <t>EVA-001</t>
        </is>
      </c>
      <c r="B5" s="23" t="inlineStr">
        <is>
          <t>Evaluate Student</t>
        </is>
      </c>
      <c r="C5" s="23" t="inlineStr">
        <is>
          <t>Page load</t>
        </is>
      </c>
      <c r="D5" s="23" t="inlineStr">
        <is>
          <t>Development server is running</t>
        </is>
      </c>
      <c r="E5" s="23" t="inlineStr">
        <is>
          <t>Open Evaluate Student</t>
        </is>
      </c>
      <c r="F5" s="23" t="inlineStr">
        <is>
          <t>See steps</t>
        </is>
      </c>
      <c r="G5" s="23" t="inlineStr">
        <is>
          <t>The page renders with its heading, sidebar and primary controls.</t>
        </is>
      </c>
      <c r="H5" s="23" t="inlineStr">
        <is>
          <t>Route and component are available through the local development server.</t>
        </is>
      </c>
      <c r="I5" s="23" t="inlineStr">
        <is>
          <t>Passed</t>
        </is>
      </c>
      <c r="J5" s="23" t="inlineStr">
        <is>
          <t>Medium</t>
        </is>
      </c>
      <c r="K5" s="23" t="inlineStr">
        <is>
          <t>Functional</t>
        </is>
      </c>
      <c r="L5" s="23" t="inlineStr">
        <is>
          <t>Codex QA</t>
        </is>
      </c>
      <c r="M5" s="23" t="inlineStr">
        <is>
          <t>2026-07-20</t>
        </is>
      </c>
      <c r="N5" s="23" t="inlineStr">
        <is>
          <t>Smoke-tested on localhost:4200; API-backed values depend on local API data.</t>
        </is>
      </c>
    </row>
    <row r="6" ht="46" customHeight="1">
      <c r="A6" s="24" t="inlineStr">
        <is>
          <t>EVA-002</t>
        </is>
      </c>
      <c r="B6" s="24" t="inlineStr">
        <is>
          <t>Evaluate Student</t>
        </is>
      </c>
      <c r="C6" s="24" t="inlineStr">
        <is>
          <t>Required-field validation</t>
        </is>
      </c>
      <c r="D6" s="24" t="inlineStr">
        <is>
          <t>Page contains a form</t>
        </is>
      </c>
      <c r="E6" s="24" t="inlineStr">
        <is>
          <t>Submit the form with all mandatory fields blank</t>
        </is>
      </c>
      <c r="F6" s="24" t="inlineStr">
        <is>
          <t>See steps</t>
        </is>
      </c>
      <c r="G6" s="24" t="inlineStr">
        <is>
          <t>Submission is blocked and each required field is identified.</t>
        </is>
      </c>
      <c r="H6" s="24" t="inlineStr">
        <is>
          <t>Not executed: requires isolated test data, credentials, or controlled API failure.</t>
        </is>
      </c>
      <c r="I6" s="24" t="inlineStr">
        <is>
          <t>Not Run</t>
        </is>
      </c>
      <c r="J6" s="24" t="inlineStr">
        <is>
          <t>Medium</t>
        </is>
      </c>
      <c r="K6" s="24" t="inlineStr">
        <is>
          <t>Functional</t>
        </is>
      </c>
      <c r="L6" s="24" t="inlineStr">
        <is>
          <t>Codex QA</t>
        </is>
      </c>
      <c r="M6" s="24" t="inlineStr">
        <is>
          <t>2026-07-20</t>
        </is>
      </c>
      <c r="N6" s="24" t="inlineStr">
        <is>
          <t>Designed from the implemented UI and service contract.</t>
        </is>
      </c>
    </row>
    <row r="7" ht="46" customHeight="1">
      <c r="A7" s="23" t="inlineStr">
        <is>
          <t>EVA-003</t>
        </is>
      </c>
      <c r="B7" s="23" t="inlineStr">
        <is>
          <t>Evaluate Student</t>
        </is>
      </c>
      <c r="C7" s="23" t="inlineStr">
        <is>
          <t>Valid submission</t>
        </is>
      </c>
      <c r="D7" s="23" t="inlineStr">
        <is>
          <t>Dedicated non-production test data is available</t>
        </is>
      </c>
      <c r="E7" s="23" t="inlineStr">
        <is>
          <t>Enter valid values and submit</t>
        </is>
      </c>
      <c r="F7" s="23" t="inlineStr">
        <is>
          <t>See steps</t>
        </is>
      </c>
      <c r="G7" s="23" t="inlineStr">
        <is>
          <t>A success message appears and data persists once only.</t>
        </is>
      </c>
      <c r="H7" s="23" t="inlineStr">
        <is>
          <t>Not executed: requires isolated test data, credentials, or controlled API failure.</t>
        </is>
      </c>
      <c r="I7" s="23" t="inlineStr">
        <is>
          <t>Not Run</t>
        </is>
      </c>
      <c r="J7" s="23" t="inlineStr">
        <is>
          <t>High</t>
        </is>
      </c>
      <c r="K7" s="23" t="inlineStr">
        <is>
          <t>Functional</t>
        </is>
      </c>
      <c r="L7" s="23" t="inlineStr">
        <is>
          <t>Codex QA</t>
        </is>
      </c>
      <c r="M7" s="23" t="inlineStr">
        <is>
          <t>2026-07-20</t>
        </is>
      </c>
      <c r="N7" s="23" t="inlineStr">
        <is>
          <t>Designed from the implemented UI and service contract.</t>
        </is>
      </c>
    </row>
    <row r="8" ht="46" customHeight="1">
      <c r="A8" s="24" t="inlineStr">
        <is>
          <t>EVA-004</t>
        </is>
      </c>
      <c r="B8" s="24" t="inlineStr">
        <is>
          <t>Evaluate Student</t>
        </is>
      </c>
      <c r="C8" s="24" t="inlineStr">
        <is>
          <t>Invalid input</t>
        </is>
      </c>
      <c r="D8" s="24" t="inlineStr">
        <is>
          <t>Page is loaded</t>
        </is>
      </c>
      <c r="E8" s="24" t="inlineStr">
        <is>
          <t>Enter invalid format, boundary value, and long text</t>
        </is>
      </c>
      <c r="F8" s="24" t="inlineStr">
        <is>
          <t>See steps</t>
        </is>
      </c>
      <c r="G8" s="24" t="inlineStr">
        <is>
          <t>Invalid input is rejected with useful feedback and no request with bad data.</t>
        </is>
      </c>
      <c r="H8" s="24" t="inlineStr">
        <is>
          <t>Not executed: requires isolated test data, credentials, or controlled API failure.</t>
        </is>
      </c>
      <c r="I8" s="24" t="inlineStr">
        <is>
          <t>Not Run</t>
        </is>
      </c>
      <c r="J8" s="24" t="inlineStr">
        <is>
          <t>Medium</t>
        </is>
      </c>
      <c r="K8" s="24" t="inlineStr">
        <is>
          <t>Functional</t>
        </is>
      </c>
      <c r="L8" s="24" t="inlineStr">
        <is>
          <t>Codex QA</t>
        </is>
      </c>
      <c r="M8" s="24" t="inlineStr">
        <is>
          <t>2026-07-20</t>
        </is>
      </c>
      <c r="N8" s="24" t="inlineStr">
        <is>
          <t>Designed from the implemented UI and service contract.</t>
        </is>
      </c>
    </row>
    <row r="9" ht="46" customHeight="1">
      <c r="A9" s="23" t="inlineStr">
        <is>
          <t>EVA-005</t>
        </is>
      </c>
      <c r="B9" s="23" t="inlineStr">
        <is>
          <t>Evaluate Student</t>
        </is>
      </c>
      <c r="C9" s="23" t="inlineStr">
        <is>
          <t>Back/cancel navigation</t>
        </is>
      </c>
      <c r="D9" s="23" t="inlineStr">
        <is>
          <t>Page is loaded</t>
        </is>
      </c>
      <c r="E9" s="23" t="inlineStr">
        <is>
          <t>Use Back or Cancel after entering changes</t>
        </is>
      </c>
      <c r="F9" s="23" t="inlineStr">
        <is>
          <t>See steps</t>
        </is>
      </c>
      <c r="G9" s="23" t="inlineStr">
        <is>
          <t>User returns to the expected page without unintended changes.</t>
        </is>
      </c>
      <c r="H9" s="23" t="inlineStr">
        <is>
          <t>Not executed: requires isolated test data, credentials, or controlled API failure.</t>
        </is>
      </c>
      <c r="I9" s="23" t="inlineStr">
        <is>
          <t>Not Run</t>
        </is>
      </c>
      <c r="J9" s="23" t="inlineStr">
        <is>
          <t>Medium</t>
        </is>
      </c>
      <c r="K9" s="23" t="inlineStr">
        <is>
          <t>Functional</t>
        </is>
      </c>
      <c r="L9" s="23" t="inlineStr">
        <is>
          <t>Codex QA</t>
        </is>
      </c>
      <c r="M9" s="23" t="inlineStr">
        <is>
          <t>2026-07-20</t>
        </is>
      </c>
      <c r="N9" s="23" t="inlineStr">
        <is>
          <t>Designed from the implemented UI and service contract.</t>
        </is>
      </c>
    </row>
    <row r="10" ht="46" customHeight="1">
      <c r="A10" s="24" t="inlineStr">
        <is>
          <t>EVA-006</t>
        </is>
      </c>
      <c r="B10" s="24" t="inlineStr">
        <is>
          <t>Evaluate Student</t>
        </is>
      </c>
      <c r="C10" s="24" t="inlineStr">
        <is>
          <t>API failure</t>
        </is>
      </c>
      <c r="D10" s="24" t="inlineStr">
        <is>
          <t>Network mocking or a test API is available</t>
        </is>
      </c>
      <c r="E10" s="24" t="inlineStr">
        <is>
          <t>Simulate an API 4xx/5xx response</t>
        </is>
      </c>
      <c r="F10" s="24" t="inlineStr">
        <is>
          <t>See steps</t>
        </is>
      </c>
      <c r="G10" s="24" t="inlineStr">
        <is>
          <t>A readable error is shown; the UI remains usable.</t>
        </is>
      </c>
      <c r="H10" s="24" t="inlineStr">
        <is>
          <t>Not executed: requires isolated test data, credentials, or controlled API failure.</t>
        </is>
      </c>
      <c r="I10" s="24" t="inlineStr">
        <is>
          <t>Not Run</t>
        </is>
      </c>
      <c r="J10" s="24" t="inlineStr">
        <is>
          <t>Medium</t>
        </is>
      </c>
      <c r="K10" s="24" t="inlineStr">
        <is>
          <t>Functional</t>
        </is>
      </c>
      <c r="L10" s="24" t="inlineStr">
        <is>
          <t>Codex QA</t>
        </is>
      </c>
      <c r="M10" s="24" t="inlineStr">
        <is>
          <t>2026-07-20</t>
        </is>
      </c>
      <c r="N10" s="24" t="inlineStr">
        <is>
          <t>Designed from the implemented UI and service contract.</t>
        </is>
      </c>
    </row>
    <row r="11" ht="46" customHeight="1">
      <c r="A11" s="23" t="inlineStr">
        <is>
          <t>EVA-007</t>
        </is>
      </c>
      <c r="B11" s="23" t="inlineStr">
        <is>
          <t>Evaluate Student</t>
        </is>
      </c>
      <c r="C11" s="23" t="inlineStr">
        <is>
          <t>Authorization</t>
        </is>
      </c>
      <c r="D11" s="23" t="inlineStr">
        <is>
          <t>No authenticated session</t>
        </is>
      </c>
      <c r="E11" s="23" t="inlineStr">
        <is>
          <t>Open the page in a fresh browser session without a token</t>
        </is>
      </c>
      <c r="F11" s="23" t="inlineStr">
        <is>
          <t>See steps</t>
        </is>
      </c>
      <c r="G11" s="23" t="inlineStr">
        <is>
          <t>User is redirected to login and protected data is not exposed.</t>
        </is>
      </c>
      <c r="H11" s="23" t="inlineStr">
        <is>
          <t>Direct access is allowed without a client-side guard; protected route is rendered.</t>
        </is>
      </c>
      <c r="I11" s="23" t="inlineStr">
        <is>
          <t>Failed</t>
        </is>
      </c>
      <c r="J11" s="23" t="inlineStr">
        <is>
          <t>High</t>
        </is>
      </c>
      <c r="K11" s="23" t="inlineStr">
        <is>
          <t>Functional</t>
        </is>
      </c>
      <c r="L11" s="23" t="inlineStr">
        <is>
          <t>Codex QA</t>
        </is>
      </c>
      <c r="M11" s="23" t="inlineStr">
        <is>
          <t>2026-07-20</t>
        </is>
      </c>
      <c r="N11" s="23" t="inlineStr">
        <is>
          <t>Logged in Bug Report as QA-SEC-001.</t>
        </is>
      </c>
    </row>
    <row r="12" ht="46" customHeight="1">
      <c r="A12" s="24" t="inlineStr">
        <is>
          <t>EVA-008</t>
        </is>
      </c>
      <c r="B12" s="24" t="inlineStr">
        <is>
          <t>Evaluate Student</t>
        </is>
      </c>
      <c r="C12" s="24" t="inlineStr">
        <is>
          <t>Responsive/accessibility</t>
        </is>
      </c>
      <c r="D12" s="24" t="inlineStr">
        <is>
          <t>Page is loaded</t>
        </is>
      </c>
      <c r="E12" s="24" t="inlineStr">
        <is>
          <t>Check keyboard navigation and desktop/tablet/mobile widths</t>
        </is>
      </c>
      <c r="F12" s="24" t="inlineStr">
        <is>
          <t>See steps</t>
        </is>
      </c>
      <c r="G12" s="24" t="inlineStr">
        <is>
          <t>Labels, focus order, contrast and layout remain usable.</t>
        </is>
      </c>
      <c r="H12" s="24" t="inlineStr">
        <is>
          <t>Not executed: requires isolated test data, credentials, or controlled API failure.</t>
        </is>
      </c>
      <c r="I12" s="24" t="inlineStr">
        <is>
          <t>Not Run</t>
        </is>
      </c>
      <c r="J12" s="24" t="inlineStr">
        <is>
          <t>Medium</t>
        </is>
      </c>
      <c r="K12" s="24" t="inlineStr">
        <is>
          <t>Functional</t>
        </is>
      </c>
      <c r="L12" s="24" t="inlineStr">
        <is>
          <t>Codex QA</t>
        </is>
      </c>
      <c r="M12" s="24" t="inlineStr">
        <is>
          <t>2026-07-20</t>
        </is>
      </c>
      <c r="N12" s="24" t="inlineStr">
        <is>
          <t>Designed from the implemented UI and service contract.</t>
        </is>
      </c>
    </row>
  </sheetData>
  <autoFilter ref="A4:N12"/>
  <mergeCells count="2">
    <mergeCell ref="A2:N2"/>
    <mergeCell ref="A1:N1"/>
  </mergeCells>
  <conditionalFormatting sqref="I5:I12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"Not Run"</formula>
    </cfRule>
    <cfRule type="cellIs" priority="4" operator="equal" dxfId="3">
      <formula>"Blocked"</formula>
    </cfRule>
  </conditionalFormatting>
  <dataValidations count="1">
    <dataValidation sqref="I5:I12" showDropDown="0" showInputMessage="0" showErrorMessage="0" allowBlank="0" type="list">
      <formula1>"Passed,Failed,Blocked,Not Run"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28" customWidth="1" min="4" max="4"/>
    <col width="40" customWidth="1" min="5" max="5"/>
    <col width="22" customWidth="1" min="6" max="6"/>
    <col width="38" customWidth="1" min="7" max="7"/>
    <col width="38" customWidth="1" min="8" max="8"/>
    <col width="14" customWidth="1" min="9" max="9"/>
    <col width="12" customWidth="1" min="10" max="10"/>
    <col width="15" customWidth="1" min="11" max="11"/>
    <col width="16" customWidth="1" min="12" max="12"/>
    <col width="16" customWidth="1" min="13" max="13"/>
    <col width="30" customWidth="1" min="14" max="14"/>
  </cols>
  <sheetData>
    <row r="1" ht="38" customHeight="1">
      <c r="A1" s="1" t="inlineStr">
        <is>
          <t>Student Evaluations</t>
        </is>
      </c>
    </row>
    <row r="2" ht="24" customHeight="1">
      <c r="A2" s="2" t="inlineStr">
        <is>
          <t>NTG Admin Module • QA test cases • Last updated: 2026-07-20</t>
        </is>
      </c>
    </row>
    <row r="4" ht="30" customHeight="1">
      <c r="A4" s="22" t="inlineStr">
        <is>
          <t>Test ID</t>
        </is>
      </c>
      <c r="B4" s="22" t="inlineStr">
        <is>
          <t>Feature</t>
        </is>
      </c>
      <c r="C4" s="22" t="inlineStr">
        <is>
          <t>Test Scenario</t>
        </is>
      </c>
      <c r="D4" s="22" t="inlineStr">
        <is>
          <t>Preconditions</t>
        </is>
      </c>
      <c r="E4" s="22" t="inlineStr">
        <is>
          <t>Test Steps</t>
        </is>
      </c>
      <c r="F4" s="22" t="inlineStr">
        <is>
          <t>Test Data</t>
        </is>
      </c>
      <c r="G4" s="22" t="inlineStr">
        <is>
          <t>Expected Result</t>
        </is>
      </c>
      <c r="H4" s="22" t="inlineStr">
        <is>
          <t>Actual Result</t>
        </is>
      </c>
      <c r="I4" s="22" t="inlineStr">
        <is>
          <t>Status</t>
        </is>
      </c>
      <c r="J4" s="22" t="inlineStr">
        <is>
          <t>Priority</t>
        </is>
      </c>
      <c r="K4" s="22" t="inlineStr">
        <is>
          <t>Test Type</t>
        </is>
      </c>
      <c r="L4" s="22" t="inlineStr">
        <is>
          <t>Tester</t>
        </is>
      </c>
      <c r="M4" s="22" t="inlineStr">
        <is>
          <t>Execution Date</t>
        </is>
      </c>
      <c r="N4" s="22" t="inlineStr">
        <is>
          <t>Notes</t>
        </is>
      </c>
    </row>
    <row r="5" ht="46" customHeight="1">
      <c r="A5" s="23" t="inlineStr">
        <is>
          <t>STU-001</t>
        </is>
      </c>
      <c r="B5" s="23" t="inlineStr">
        <is>
          <t>Student Evaluations</t>
        </is>
      </c>
      <c r="C5" s="23" t="inlineStr">
        <is>
          <t>Page load</t>
        </is>
      </c>
      <c r="D5" s="23" t="inlineStr">
        <is>
          <t>Development server is running</t>
        </is>
      </c>
      <c r="E5" s="23" t="inlineStr">
        <is>
          <t>Open Student Evaluations</t>
        </is>
      </c>
      <c r="F5" s="23" t="inlineStr">
        <is>
          <t>See steps</t>
        </is>
      </c>
      <c r="G5" s="23" t="inlineStr">
        <is>
          <t>The page renders with its heading, sidebar and primary controls.</t>
        </is>
      </c>
      <c r="H5" s="23" t="inlineStr">
        <is>
          <t>Route and component are available through the local development server.</t>
        </is>
      </c>
      <c r="I5" s="23" t="inlineStr">
        <is>
          <t>Passed</t>
        </is>
      </c>
      <c r="J5" s="23" t="inlineStr">
        <is>
          <t>Medium</t>
        </is>
      </c>
      <c r="K5" s="23" t="inlineStr">
        <is>
          <t>Functional</t>
        </is>
      </c>
      <c r="L5" s="23" t="inlineStr">
        <is>
          <t>Codex QA</t>
        </is>
      </c>
      <c r="M5" s="23" t="inlineStr">
        <is>
          <t>2026-07-20</t>
        </is>
      </c>
      <c r="N5" s="23" t="inlineStr">
        <is>
          <t>Smoke-tested on localhost:4200; API-backed values depend on local API data.</t>
        </is>
      </c>
    </row>
    <row r="6" ht="46" customHeight="1">
      <c r="A6" s="24" t="inlineStr">
        <is>
          <t>STU-002</t>
        </is>
      </c>
      <c r="B6" s="24" t="inlineStr">
        <is>
          <t>Student Evaluations</t>
        </is>
      </c>
      <c r="C6" s="24" t="inlineStr">
        <is>
          <t>Required-field validation</t>
        </is>
      </c>
      <c r="D6" s="24" t="inlineStr">
        <is>
          <t>Page contains a form</t>
        </is>
      </c>
      <c r="E6" s="24" t="inlineStr">
        <is>
          <t>Submit the form with all mandatory fields blank</t>
        </is>
      </c>
      <c r="F6" s="24" t="inlineStr">
        <is>
          <t>See steps</t>
        </is>
      </c>
      <c r="G6" s="24" t="inlineStr">
        <is>
          <t>Submission is blocked and each required field is identified.</t>
        </is>
      </c>
      <c r="H6" s="24" t="inlineStr">
        <is>
          <t>Not executed: requires isolated test data, credentials, or controlled API failure.</t>
        </is>
      </c>
      <c r="I6" s="24" t="inlineStr">
        <is>
          <t>Not Run</t>
        </is>
      </c>
      <c r="J6" s="24" t="inlineStr">
        <is>
          <t>Medium</t>
        </is>
      </c>
      <c r="K6" s="24" t="inlineStr">
        <is>
          <t>Functional</t>
        </is>
      </c>
      <c r="L6" s="24" t="inlineStr">
        <is>
          <t>Codex QA</t>
        </is>
      </c>
      <c r="M6" s="24" t="inlineStr">
        <is>
          <t>2026-07-20</t>
        </is>
      </c>
      <c r="N6" s="24" t="inlineStr">
        <is>
          <t>Designed from the implemented UI and service contract.</t>
        </is>
      </c>
    </row>
    <row r="7" ht="46" customHeight="1">
      <c r="A7" s="23" t="inlineStr">
        <is>
          <t>STU-003</t>
        </is>
      </c>
      <c r="B7" s="23" t="inlineStr">
        <is>
          <t>Student Evaluations</t>
        </is>
      </c>
      <c r="C7" s="23" t="inlineStr">
        <is>
          <t>Valid submission</t>
        </is>
      </c>
      <c r="D7" s="23" t="inlineStr">
        <is>
          <t>Dedicated non-production test data is available</t>
        </is>
      </c>
      <c r="E7" s="23" t="inlineStr">
        <is>
          <t>Enter valid values and submit</t>
        </is>
      </c>
      <c r="F7" s="23" t="inlineStr">
        <is>
          <t>See steps</t>
        </is>
      </c>
      <c r="G7" s="23" t="inlineStr">
        <is>
          <t>A success message appears and data persists once only.</t>
        </is>
      </c>
      <c r="H7" s="23" t="inlineStr">
        <is>
          <t>Not executed: requires isolated test data, credentials, or controlled API failure.</t>
        </is>
      </c>
      <c r="I7" s="23" t="inlineStr">
        <is>
          <t>Not Run</t>
        </is>
      </c>
      <c r="J7" s="23" t="inlineStr">
        <is>
          <t>High</t>
        </is>
      </c>
      <c r="K7" s="23" t="inlineStr">
        <is>
          <t>Functional</t>
        </is>
      </c>
      <c r="L7" s="23" t="inlineStr">
        <is>
          <t>Codex QA</t>
        </is>
      </c>
      <c r="M7" s="23" t="inlineStr">
        <is>
          <t>2026-07-20</t>
        </is>
      </c>
      <c r="N7" s="23" t="inlineStr">
        <is>
          <t>Designed from the implemented UI and service contract.</t>
        </is>
      </c>
    </row>
    <row r="8" ht="46" customHeight="1">
      <c r="A8" s="24" t="inlineStr">
        <is>
          <t>STU-004</t>
        </is>
      </c>
      <c r="B8" s="24" t="inlineStr">
        <is>
          <t>Student Evaluations</t>
        </is>
      </c>
      <c r="C8" s="24" t="inlineStr">
        <is>
          <t>Invalid input</t>
        </is>
      </c>
      <c r="D8" s="24" t="inlineStr">
        <is>
          <t>Page is loaded</t>
        </is>
      </c>
      <c r="E8" s="24" t="inlineStr">
        <is>
          <t>Enter invalid format, boundary value, and long text</t>
        </is>
      </c>
      <c r="F8" s="24" t="inlineStr">
        <is>
          <t>See steps</t>
        </is>
      </c>
      <c r="G8" s="24" t="inlineStr">
        <is>
          <t>Invalid input is rejected with useful feedback and no request with bad data.</t>
        </is>
      </c>
      <c r="H8" s="24" t="inlineStr">
        <is>
          <t>Not executed: requires isolated test data, credentials, or controlled API failure.</t>
        </is>
      </c>
      <c r="I8" s="24" t="inlineStr">
        <is>
          <t>Not Run</t>
        </is>
      </c>
      <c r="J8" s="24" t="inlineStr">
        <is>
          <t>Medium</t>
        </is>
      </c>
      <c r="K8" s="24" t="inlineStr">
        <is>
          <t>Functional</t>
        </is>
      </c>
      <c r="L8" s="24" t="inlineStr">
        <is>
          <t>Codex QA</t>
        </is>
      </c>
      <c r="M8" s="24" t="inlineStr">
        <is>
          <t>2026-07-20</t>
        </is>
      </c>
      <c r="N8" s="24" t="inlineStr">
        <is>
          <t>Designed from the implemented UI and service contract.</t>
        </is>
      </c>
    </row>
    <row r="9" ht="46" customHeight="1">
      <c r="A9" s="23" t="inlineStr">
        <is>
          <t>STU-005</t>
        </is>
      </c>
      <c r="B9" s="23" t="inlineStr">
        <is>
          <t>Student Evaluations</t>
        </is>
      </c>
      <c r="C9" s="23" t="inlineStr">
        <is>
          <t>Back/cancel navigation</t>
        </is>
      </c>
      <c r="D9" s="23" t="inlineStr">
        <is>
          <t>Page is loaded</t>
        </is>
      </c>
      <c r="E9" s="23" t="inlineStr">
        <is>
          <t>Use Back or Cancel after entering changes</t>
        </is>
      </c>
      <c r="F9" s="23" t="inlineStr">
        <is>
          <t>See steps</t>
        </is>
      </c>
      <c r="G9" s="23" t="inlineStr">
        <is>
          <t>User returns to the expected page without unintended changes.</t>
        </is>
      </c>
      <c r="H9" s="23" t="inlineStr">
        <is>
          <t>Not executed: requires isolated test data, credentials, or controlled API failure.</t>
        </is>
      </c>
      <c r="I9" s="23" t="inlineStr">
        <is>
          <t>Not Run</t>
        </is>
      </c>
      <c r="J9" s="23" t="inlineStr">
        <is>
          <t>Medium</t>
        </is>
      </c>
      <c r="K9" s="23" t="inlineStr">
        <is>
          <t>Functional</t>
        </is>
      </c>
      <c r="L9" s="23" t="inlineStr">
        <is>
          <t>Codex QA</t>
        </is>
      </c>
      <c r="M9" s="23" t="inlineStr">
        <is>
          <t>2026-07-20</t>
        </is>
      </c>
      <c r="N9" s="23" t="inlineStr">
        <is>
          <t>Designed from the implemented UI and service contract.</t>
        </is>
      </c>
    </row>
    <row r="10" ht="46" customHeight="1">
      <c r="A10" s="24" t="inlineStr">
        <is>
          <t>STU-006</t>
        </is>
      </c>
      <c r="B10" s="24" t="inlineStr">
        <is>
          <t>Student Evaluations</t>
        </is>
      </c>
      <c r="C10" s="24" t="inlineStr">
        <is>
          <t>API failure</t>
        </is>
      </c>
      <c r="D10" s="24" t="inlineStr">
        <is>
          <t>Network mocking or a test API is available</t>
        </is>
      </c>
      <c r="E10" s="24" t="inlineStr">
        <is>
          <t>Simulate an API 4xx/5xx response</t>
        </is>
      </c>
      <c r="F10" s="24" t="inlineStr">
        <is>
          <t>See steps</t>
        </is>
      </c>
      <c r="G10" s="24" t="inlineStr">
        <is>
          <t>A readable error is shown; the UI remains usable.</t>
        </is>
      </c>
      <c r="H10" s="24" t="inlineStr">
        <is>
          <t>Not executed: requires isolated test data, credentials, or controlled API failure.</t>
        </is>
      </c>
      <c r="I10" s="24" t="inlineStr">
        <is>
          <t>Not Run</t>
        </is>
      </c>
      <c r="J10" s="24" t="inlineStr">
        <is>
          <t>Medium</t>
        </is>
      </c>
      <c r="K10" s="24" t="inlineStr">
        <is>
          <t>Functional</t>
        </is>
      </c>
      <c r="L10" s="24" t="inlineStr">
        <is>
          <t>Codex QA</t>
        </is>
      </c>
      <c r="M10" s="24" t="inlineStr">
        <is>
          <t>2026-07-20</t>
        </is>
      </c>
      <c r="N10" s="24" t="inlineStr">
        <is>
          <t>Designed from the implemented UI and service contract.</t>
        </is>
      </c>
    </row>
    <row r="11" ht="46" customHeight="1">
      <c r="A11" s="23" t="inlineStr">
        <is>
          <t>STU-007</t>
        </is>
      </c>
      <c r="B11" s="23" t="inlineStr">
        <is>
          <t>Student Evaluations</t>
        </is>
      </c>
      <c r="C11" s="23" t="inlineStr">
        <is>
          <t>Authorization</t>
        </is>
      </c>
      <c r="D11" s="23" t="inlineStr">
        <is>
          <t>No authenticated session</t>
        </is>
      </c>
      <c r="E11" s="23" t="inlineStr">
        <is>
          <t>Open the page in a fresh browser session without a token</t>
        </is>
      </c>
      <c r="F11" s="23" t="inlineStr">
        <is>
          <t>See steps</t>
        </is>
      </c>
      <c r="G11" s="23" t="inlineStr">
        <is>
          <t>User is redirected to login and protected data is not exposed.</t>
        </is>
      </c>
      <c r="H11" s="23" t="inlineStr">
        <is>
          <t>Direct access is allowed without a client-side guard; protected route is rendered.</t>
        </is>
      </c>
      <c r="I11" s="23" t="inlineStr">
        <is>
          <t>Failed</t>
        </is>
      </c>
      <c r="J11" s="23" t="inlineStr">
        <is>
          <t>High</t>
        </is>
      </c>
      <c r="K11" s="23" t="inlineStr">
        <is>
          <t>Functional</t>
        </is>
      </c>
      <c r="L11" s="23" t="inlineStr">
        <is>
          <t>Codex QA</t>
        </is>
      </c>
      <c r="M11" s="23" t="inlineStr">
        <is>
          <t>2026-07-20</t>
        </is>
      </c>
      <c r="N11" s="23" t="inlineStr">
        <is>
          <t>Logged in Bug Report as QA-SEC-001.</t>
        </is>
      </c>
    </row>
    <row r="12" ht="46" customHeight="1">
      <c r="A12" s="24" t="inlineStr">
        <is>
          <t>STU-008</t>
        </is>
      </c>
      <c r="B12" s="24" t="inlineStr">
        <is>
          <t>Student Evaluations</t>
        </is>
      </c>
      <c r="C12" s="24" t="inlineStr">
        <is>
          <t>Responsive/accessibility</t>
        </is>
      </c>
      <c r="D12" s="24" t="inlineStr">
        <is>
          <t>Page is loaded</t>
        </is>
      </c>
      <c r="E12" s="24" t="inlineStr">
        <is>
          <t>Check keyboard navigation and desktop/tablet/mobile widths</t>
        </is>
      </c>
      <c r="F12" s="24" t="inlineStr">
        <is>
          <t>See steps</t>
        </is>
      </c>
      <c r="G12" s="24" t="inlineStr">
        <is>
          <t>Labels, focus order, contrast and layout remain usable.</t>
        </is>
      </c>
      <c r="H12" s="24" t="inlineStr">
        <is>
          <t>Not executed: requires isolated test data, credentials, or controlled API failure.</t>
        </is>
      </c>
      <c r="I12" s="24" t="inlineStr">
        <is>
          <t>Not Run</t>
        </is>
      </c>
      <c r="J12" s="24" t="inlineStr">
        <is>
          <t>Medium</t>
        </is>
      </c>
      <c r="K12" s="24" t="inlineStr">
        <is>
          <t>Functional</t>
        </is>
      </c>
      <c r="L12" s="24" t="inlineStr">
        <is>
          <t>Codex QA</t>
        </is>
      </c>
      <c r="M12" s="24" t="inlineStr">
        <is>
          <t>2026-07-20</t>
        </is>
      </c>
      <c r="N12" s="24" t="inlineStr">
        <is>
          <t>Designed from the implemented UI and service contract.</t>
        </is>
      </c>
    </row>
  </sheetData>
  <autoFilter ref="A4:N12"/>
  <mergeCells count="2">
    <mergeCell ref="A2:N2"/>
    <mergeCell ref="A1:N1"/>
  </mergeCells>
  <conditionalFormatting sqref="I5:I12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"Not Run"</formula>
    </cfRule>
    <cfRule type="cellIs" priority="4" operator="equal" dxfId="3">
      <formula>"Blocked"</formula>
    </cfRule>
  </conditionalFormatting>
  <dataValidations count="1">
    <dataValidation sqref="I5:I12" showDropDown="0" showInputMessage="0" showErrorMessage="0" allowBlank="0" type="list">
      <formula1>"Passed,Failed,Blocked,Not Run"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28" customWidth="1" min="4" max="4"/>
    <col width="40" customWidth="1" min="5" max="5"/>
    <col width="22" customWidth="1" min="6" max="6"/>
    <col width="38" customWidth="1" min="7" max="7"/>
    <col width="38" customWidth="1" min="8" max="8"/>
    <col width="14" customWidth="1" min="9" max="9"/>
    <col width="12" customWidth="1" min="10" max="10"/>
    <col width="15" customWidth="1" min="11" max="11"/>
    <col width="16" customWidth="1" min="12" max="12"/>
    <col width="16" customWidth="1" min="13" max="13"/>
    <col width="30" customWidth="1" min="14" max="14"/>
  </cols>
  <sheetData>
    <row r="1" ht="38" customHeight="1">
      <c r="A1" s="1" t="inlineStr">
        <is>
          <t>Reset Password</t>
        </is>
      </c>
    </row>
    <row r="2" ht="24" customHeight="1">
      <c r="A2" s="2" t="inlineStr">
        <is>
          <t>NTG Admin Module • QA test cases • Last updated: 2026-07-20</t>
        </is>
      </c>
    </row>
    <row r="4" ht="30" customHeight="1">
      <c r="A4" s="22" t="inlineStr">
        <is>
          <t>Test ID</t>
        </is>
      </c>
      <c r="B4" s="22" t="inlineStr">
        <is>
          <t>Feature</t>
        </is>
      </c>
      <c r="C4" s="22" t="inlineStr">
        <is>
          <t>Test Scenario</t>
        </is>
      </c>
      <c r="D4" s="22" t="inlineStr">
        <is>
          <t>Preconditions</t>
        </is>
      </c>
      <c r="E4" s="22" t="inlineStr">
        <is>
          <t>Test Steps</t>
        </is>
      </c>
      <c r="F4" s="22" t="inlineStr">
        <is>
          <t>Test Data</t>
        </is>
      </c>
      <c r="G4" s="22" t="inlineStr">
        <is>
          <t>Expected Result</t>
        </is>
      </c>
      <c r="H4" s="22" t="inlineStr">
        <is>
          <t>Actual Result</t>
        </is>
      </c>
      <c r="I4" s="22" t="inlineStr">
        <is>
          <t>Status</t>
        </is>
      </c>
      <c r="J4" s="22" t="inlineStr">
        <is>
          <t>Priority</t>
        </is>
      </c>
      <c r="K4" s="22" t="inlineStr">
        <is>
          <t>Test Type</t>
        </is>
      </c>
      <c r="L4" s="22" t="inlineStr">
        <is>
          <t>Tester</t>
        </is>
      </c>
      <c r="M4" s="22" t="inlineStr">
        <is>
          <t>Execution Date</t>
        </is>
      </c>
      <c r="N4" s="22" t="inlineStr">
        <is>
          <t>Notes</t>
        </is>
      </c>
    </row>
    <row r="5" ht="46" customHeight="1">
      <c r="A5" s="23" t="inlineStr">
        <is>
          <t>RES-001</t>
        </is>
      </c>
      <c r="B5" s="23" t="inlineStr">
        <is>
          <t>Reset Password</t>
        </is>
      </c>
      <c r="C5" s="23" t="inlineStr">
        <is>
          <t>Page load</t>
        </is>
      </c>
      <c r="D5" s="23" t="inlineStr">
        <is>
          <t>Development server is running</t>
        </is>
      </c>
      <c r="E5" s="23" t="inlineStr">
        <is>
          <t>Open Reset Password</t>
        </is>
      </c>
      <c r="F5" s="23" t="inlineStr">
        <is>
          <t>See steps</t>
        </is>
      </c>
      <c r="G5" s="23" t="inlineStr">
        <is>
          <t>The page renders with its heading, sidebar and primary controls.</t>
        </is>
      </c>
      <c r="H5" s="23" t="inlineStr">
        <is>
          <t>Route and component are available through the local development server.</t>
        </is>
      </c>
      <c r="I5" s="23" t="inlineStr">
        <is>
          <t>Passed</t>
        </is>
      </c>
      <c r="J5" s="23" t="inlineStr">
        <is>
          <t>Medium</t>
        </is>
      </c>
      <c r="K5" s="23" t="inlineStr">
        <is>
          <t>Functional</t>
        </is>
      </c>
      <c r="L5" s="23" t="inlineStr">
        <is>
          <t>Codex QA</t>
        </is>
      </c>
      <c r="M5" s="23" t="inlineStr">
        <is>
          <t>2026-07-20</t>
        </is>
      </c>
      <c r="N5" s="23" t="inlineStr">
        <is>
          <t>Smoke-tested on localhost:4200; API-backed values depend on local API data.</t>
        </is>
      </c>
    </row>
    <row r="6" ht="46" customHeight="1">
      <c r="A6" s="24" t="inlineStr">
        <is>
          <t>RES-002</t>
        </is>
      </c>
      <c r="B6" s="24" t="inlineStr">
        <is>
          <t>Reset Password</t>
        </is>
      </c>
      <c r="C6" s="24" t="inlineStr">
        <is>
          <t>Required-field validation</t>
        </is>
      </c>
      <c r="D6" s="24" t="inlineStr">
        <is>
          <t>Page contains a form</t>
        </is>
      </c>
      <c r="E6" s="24" t="inlineStr">
        <is>
          <t>Submit the form with all mandatory fields blank</t>
        </is>
      </c>
      <c r="F6" s="24" t="inlineStr">
        <is>
          <t>See steps</t>
        </is>
      </c>
      <c r="G6" s="24" t="inlineStr">
        <is>
          <t>Submission is blocked and each required field is identified.</t>
        </is>
      </c>
      <c r="H6" s="24" t="inlineStr">
        <is>
          <t>Not executed: requires isolated test data, credentials, or controlled API failure.</t>
        </is>
      </c>
      <c r="I6" s="24" t="inlineStr">
        <is>
          <t>Not Run</t>
        </is>
      </c>
      <c r="J6" s="24" t="inlineStr">
        <is>
          <t>Medium</t>
        </is>
      </c>
      <c r="K6" s="24" t="inlineStr">
        <is>
          <t>Functional</t>
        </is>
      </c>
      <c r="L6" s="24" t="inlineStr">
        <is>
          <t>Codex QA</t>
        </is>
      </c>
      <c r="M6" s="24" t="inlineStr">
        <is>
          <t>2026-07-20</t>
        </is>
      </c>
      <c r="N6" s="24" t="inlineStr">
        <is>
          <t>Designed from the implemented UI and service contract.</t>
        </is>
      </c>
    </row>
    <row r="7" ht="46" customHeight="1">
      <c r="A7" s="23" t="inlineStr">
        <is>
          <t>RES-003</t>
        </is>
      </c>
      <c r="B7" s="23" t="inlineStr">
        <is>
          <t>Reset Password</t>
        </is>
      </c>
      <c r="C7" s="23" t="inlineStr">
        <is>
          <t>Valid submission</t>
        </is>
      </c>
      <c r="D7" s="23" t="inlineStr">
        <is>
          <t>Dedicated non-production test data is available</t>
        </is>
      </c>
      <c r="E7" s="23" t="inlineStr">
        <is>
          <t>Enter valid values and submit</t>
        </is>
      </c>
      <c r="F7" s="23" t="inlineStr">
        <is>
          <t>See steps</t>
        </is>
      </c>
      <c r="G7" s="23" t="inlineStr">
        <is>
          <t>A success message appears and data persists once only.</t>
        </is>
      </c>
      <c r="H7" s="23" t="inlineStr">
        <is>
          <t>Not executed: requires isolated test data, credentials, or controlled API failure.</t>
        </is>
      </c>
      <c r="I7" s="23" t="inlineStr">
        <is>
          <t>Not Run</t>
        </is>
      </c>
      <c r="J7" s="23" t="inlineStr">
        <is>
          <t>High</t>
        </is>
      </c>
      <c r="K7" s="23" t="inlineStr">
        <is>
          <t>Functional</t>
        </is>
      </c>
      <c r="L7" s="23" t="inlineStr">
        <is>
          <t>Codex QA</t>
        </is>
      </c>
      <c r="M7" s="23" t="inlineStr">
        <is>
          <t>2026-07-20</t>
        </is>
      </c>
      <c r="N7" s="23" t="inlineStr">
        <is>
          <t>Designed from the implemented UI and service contract.</t>
        </is>
      </c>
    </row>
    <row r="8" ht="46" customHeight="1">
      <c r="A8" s="24" t="inlineStr">
        <is>
          <t>RES-004</t>
        </is>
      </c>
      <c r="B8" s="24" t="inlineStr">
        <is>
          <t>Reset Password</t>
        </is>
      </c>
      <c r="C8" s="24" t="inlineStr">
        <is>
          <t>Invalid input</t>
        </is>
      </c>
      <c r="D8" s="24" t="inlineStr">
        <is>
          <t>Page is loaded</t>
        </is>
      </c>
      <c r="E8" s="24" t="inlineStr">
        <is>
          <t>Enter invalid format, boundary value, and long text</t>
        </is>
      </c>
      <c r="F8" s="24" t="inlineStr">
        <is>
          <t>See steps</t>
        </is>
      </c>
      <c r="G8" s="24" t="inlineStr">
        <is>
          <t>Invalid input is rejected with useful feedback and no request with bad data.</t>
        </is>
      </c>
      <c r="H8" s="24" t="inlineStr">
        <is>
          <t>Not executed: requires isolated test data, credentials, or controlled API failure.</t>
        </is>
      </c>
      <c r="I8" s="24" t="inlineStr">
        <is>
          <t>Not Run</t>
        </is>
      </c>
      <c r="J8" s="24" t="inlineStr">
        <is>
          <t>Medium</t>
        </is>
      </c>
      <c r="K8" s="24" t="inlineStr">
        <is>
          <t>Functional</t>
        </is>
      </c>
      <c r="L8" s="24" t="inlineStr">
        <is>
          <t>Codex QA</t>
        </is>
      </c>
      <c r="M8" s="24" t="inlineStr">
        <is>
          <t>2026-07-20</t>
        </is>
      </c>
      <c r="N8" s="24" t="inlineStr">
        <is>
          <t>Designed from the implemented UI and service contract.</t>
        </is>
      </c>
    </row>
    <row r="9" ht="46" customHeight="1">
      <c r="A9" s="23" t="inlineStr">
        <is>
          <t>RES-005</t>
        </is>
      </c>
      <c r="B9" s="23" t="inlineStr">
        <is>
          <t>Reset Password</t>
        </is>
      </c>
      <c r="C9" s="23" t="inlineStr">
        <is>
          <t>Back/cancel navigation</t>
        </is>
      </c>
      <c r="D9" s="23" t="inlineStr">
        <is>
          <t>Page is loaded</t>
        </is>
      </c>
      <c r="E9" s="23" t="inlineStr">
        <is>
          <t>Use Back or Cancel after entering changes</t>
        </is>
      </c>
      <c r="F9" s="23" t="inlineStr">
        <is>
          <t>See steps</t>
        </is>
      </c>
      <c r="G9" s="23" t="inlineStr">
        <is>
          <t>User returns to the expected page without unintended changes.</t>
        </is>
      </c>
      <c r="H9" s="23" t="inlineStr">
        <is>
          <t>Not executed: requires isolated test data, credentials, or controlled API failure.</t>
        </is>
      </c>
      <c r="I9" s="23" t="inlineStr">
        <is>
          <t>Not Run</t>
        </is>
      </c>
      <c r="J9" s="23" t="inlineStr">
        <is>
          <t>Medium</t>
        </is>
      </c>
      <c r="K9" s="23" t="inlineStr">
        <is>
          <t>Functional</t>
        </is>
      </c>
      <c r="L9" s="23" t="inlineStr">
        <is>
          <t>Codex QA</t>
        </is>
      </c>
      <c r="M9" s="23" t="inlineStr">
        <is>
          <t>2026-07-20</t>
        </is>
      </c>
      <c r="N9" s="23" t="inlineStr">
        <is>
          <t>Designed from the implemented UI and service contract.</t>
        </is>
      </c>
    </row>
    <row r="10" ht="46" customHeight="1">
      <c r="A10" s="24" t="inlineStr">
        <is>
          <t>RES-006</t>
        </is>
      </c>
      <c r="B10" s="24" t="inlineStr">
        <is>
          <t>Reset Password</t>
        </is>
      </c>
      <c r="C10" s="24" t="inlineStr">
        <is>
          <t>API failure</t>
        </is>
      </c>
      <c r="D10" s="24" t="inlineStr">
        <is>
          <t>Network mocking or a test API is available</t>
        </is>
      </c>
      <c r="E10" s="24" t="inlineStr">
        <is>
          <t>Simulate an API 4xx/5xx response</t>
        </is>
      </c>
      <c r="F10" s="24" t="inlineStr">
        <is>
          <t>See steps</t>
        </is>
      </c>
      <c r="G10" s="24" t="inlineStr">
        <is>
          <t>A readable error is shown; the UI remains usable.</t>
        </is>
      </c>
      <c r="H10" s="24" t="inlineStr">
        <is>
          <t>Not executed: requires isolated test data, credentials, or controlled API failure.</t>
        </is>
      </c>
      <c r="I10" s="24" t="inlineStr">
        <is>
          <t>Not Run</t>
        </is>
      </c>
      <c r="J10" s="24" t="inlineStr">
        <is>
          <t>Medium</t>
        </is>
      </c>
      <c r="K10" s="24" t="inlineStr">
        <is>
          <t>Functional</t>
        </is>
      </c>
      <c r="L10" s="24" t="inlineStr">
        <is>
          <t>Codex QA</t>
        </is>
      </c>
      <c r="M10" s="24" t="inlineStr">
        <is>
          <t>2026-07-20</t>
        </is>
      </c>
      <c r="N10" s="24" t="inlineStr">
        <is>
          <t>Designed from the implemented UI and service contract.</t>
        </is>
      </c>
    </row>
    <row r="11" ht="46" customHeight="1">
      <c r="A11" s="23" t="inlineStr">
        <is>
          <t>RES-007</t>
        </is>
      </c>
      <c r="B11" s="23" t="inlineStr">
        <is>
          <t>Reset Password</t>
        </is>
      </c>
      <c r="C11" s="23" t="inlineStr">
        <is>
          <t>Authorization</t>
        </is>
      </c>
      <c r="D11" s="23" t="inlineStr">
        <is>
          <t>No authenticated session</t>
        </is>
      </c>
      <c r="E11" s="23" t="inlineStr">
        <is>
          <t>Open the page in a fresh browser session without a token</t>
        </is>
      </c>
      <c r="F11" s="23" t="inlineStr">
        <is>
          <t>See steps</t>
        </is>
      </c>
      <c r="G11" s="23" t="inlineStr">
        <is>
          <t>User is redirected to login and protected data is not exposed.</t>
        </is>
      </c>
      <c r="H11" s="23" t="inlineStr">
        <is>
          <t>Direct access is allowed without a client-side guard; protected route is rendered.</t>
        </is>
      </c>
      <c r="I11" s="23" t="inlineStr">
        <is>
          <t>Failed</t>
        </is>
      </c>
      <c r="J11" s="23" t="inlineStr">
        <is>
          <t>High</t>
        </is>
      </c>
      <c r="K11" s="23" t="inlineStr">
        <is>
          <t>Functional</t>
        </is>
      </c>
      <c r="L11" s="23" t="inlineStr">
        <is>
          <t>Codex QA</t>
        </is>
      </c>
      <c r="M11" s="23" t="inlineStr">
        <is>
          <t>2026-07-20</t>
        </is>
      </c>
      <c r="N11" s="23" t="inlineStr">
        <is>
          <t>Logged in Bug Report as QA-SEC-001.</t>
        </is>
      </c>
    </row>
    <row r="12" ht="46" customHeight="1">
      <c r="A12" s="24" t="inlineStr">
        <is>
          <t>RES-008</t>
        </is>
      </c>
      <c r="B12" s="24" t="inlineStr">
        <is>
          <t>Reset Password</t>
        </is>
      </c>
      <c r="C12" s="24" t="inlineStr">
        <is>
          <t>Responsive/accessibility</t>
        </is>
      </c>
      <c r="D12" s="24" t="inlineStr">
        <is>
          <t>Page is loaded</t>
        </is>
      </c>
      <c r="E12" s="24" t="inlineStr">
        <is>
          <t>Check keyboard navigation and desktop/tablet/mobile widths</t>
        </is>
      </c>
      <c r="F12" s="24" t="inlineStr">
        <is>
          <t>See steps</t>
        </is>
      </c>
      <c r="G12" s="24" t="inlineStr">
        <is>
          <t>Labels, focus order, contrast and layout remain usable.</t>
        </is>
      </c>
      <c r="H12" s="24" t="inlineStr">
        <is>
          <t>Not executed: requires isolated test data, credentials, or controlled API failure.</t>
        </is>
      </c>
      <c r="I12" s="24" t="inlineStr">
        <is>
          <t>Not Run</t>
        </is>
      </c>
      <c r="J12" s="24" t="inlineStr">
        <is>
          <t>Medium</t>
        </is>
      </c>
      <c r="K12" s="24" t="inlineStr">
        <is>
          <t>Functional</t>
        </is>
      </c>
      <c r="L12" s="24" t="inlineStr">
        <is>
          <t>Codex QA</t>
        </is>
      </c>
      <c r="M12" s="24" t="inlineStr">
        <is>
          <t>2026-07-20</t>
        </is>
      </c>
      <c r="N12" s="24" t="inlineStr">
        <is>
          <t>Designed from the implemented UI and service contract.</t>
        </is>
      </c>
    </row>
  </sheetData>
  <autoFilter ref="A4:N12"/>
  <mergeCells count="2">
    <mergeCell ref="A2:N2"/>
    <mergeCell ref="A1:N1"/>
  </mergeCells>
  <conditionalFormatting sqref="I5:I12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"Not Run"</formula>
    </cfRule>
    <cfRule type="cellIs" priority="4" operator="equal" dxfId="3">
      <formula>"Blocked"</formula>
    </cfRule>
  </conditionalFormatting>
  <dataValidations count="1">
    <dataValidation sqref="I5:I12" showDropDown="0" showInputMessage="0" showErrorMessage="0" allowBlank="0" type="list">
      <formula1>"Passed,Failed,Blocked,Not Run"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28" customWidth="1" min="4" max="4"/>
    <col width="40" customWidth="1" min="5" max="5"/>
    <col width="22" customWidth="1" min="6" max="6"/>
    <col width="38" customWidth="1" min="7" max="7"/>
    <col width="38" customWidth="1" min="8" max="8"/>
    <col width="14" customWidth="1" min="9" max="9"/>
    <col width="12" customWidth="1" min="10" max="10"/>
    <col width="15" customWidth="1" min="11" max="11"/>
    <col width="16" customWidth="1" min="12" max="12"/>
    <col width="16" customWidth="1" min="13" max="13"/>
    <col width="30" customWidth="1" min="14" max="14"/>
  </cols>
  <sheetData>
    <row r="1" ht="38" customHeight="1">
      <c r="A1" s="1" t="inlineStr">
        <is>
          <t>Not Found</t>
        </is>
      </c>
    </row>
    <row r="2" ht="24" customHeight="1">
      <c r="A2" s="2" t="inlineStr">
        <is>
          <t>NTG Admin Module • QA test cases • Last updated: 2026-07-20</t>
        </is>
      </c>
    </row>
    <row r="4" ht="30" customHeight="1">
      <c r="A4" s="22" t="inlineStr">
        <is>
          <t>Test ID</t>
        </is>
      </c>
      <c r="B4" s="22" t="inlineStr">
        <is>
          <t>Feature</t>
        </is>
      </c>
      <c r="C4" s="22" t="inlineStr">
        <is>
          <t>Test Scenario</t>
        </is>
      </c>
      <c r="D4" s="22" t="inlineStr">
        <is>
          <t>Preconditions</t>
        </is>
      </c>
      <c r="E4" s="22" t="inlineStr">
        <is>
          <t>Test Steps</t>
        </is>
      </c>
      <c r="F4" s="22" t="inlineStr">
        <is>
          <t>Test Data</t>
        </is>
      </c>
      <c r="G4" s="22" t="inlineStr">
        <is>
          <t>Expected Result</t>
        </is>
      </c>
      <c r="H4" s="22" t="inlineStr">
        <is>
          <t>Actual Result</t>
        </is>
      </c>
      <c r="I4" s="22" t="inlineStr">
        <is>
          <t>Status</t>
        </is>
      </c>
      <c r="J4" s="22" t="inlineStr">
        <is>
          <t>Priority</t>
        </is>
      </c>
      <c r="K4" s="22" t="inlineStr">
        <is>
          <t>Test Type</t>
        </is>
      </c>
      <c r="L4" s="22" t="inlineStr">
        <is>
          <t>Tester</t>
        </is>
      </c>
      <c r="M4" s="22" t="inlineStr">
        <is>
          <t>Execution Date</t>
        </is>
      </c>
      <c r="N4" s="22" t="inlineStr">
        <is>
          <t>Notes</t>
        </is>
      </c>
    </row>
    <row r="5" ht="46" customHeight="1">
      <c r="A5" s="23" t="inlineStr">
        <is>
          <t>NOT-001</t>
        </is>
      </c>
      <c r="B5" s="23" t="inlineStr">
        <is>
          <t>Not Found</t>
        </is>
      </c>
      <c r="C5" s="23" t="inlineStr">
        <is>
          <t>Page load</t>
        </is>
      </c>
      <c r="D5" s="23" t="inlineStr">
        <is>
          <t>Development server is running</t>
        </is>
      </c>
      <c r="E5" s="23" t="inlineStr">
        <is>
          <t>Open Not Found</t>
        </is>
      </c>
      <c r="F5" s="23" t="inlineStr">
        <is>
          <t>See steps</t>
        </is>
      </c>
      <c r="G5" s="23" t="inlineStr">
        <is>
          <t>The page renders with its heading, sidebar and primary controls.</t>
        </is>
      </c>
      <c r="H5" s="23" t="inlineStr">
        <is>
          <t>Route and component are available through the local development server.</t>
        </is>
      </c>
      <c r="I5" s="23" t="inlineStr">
        <is>
          <t>Passed</t>
        </is>
      </c>
      <c r="J5" s="23" t="inlineStr">
        <is>
          <t>Medium</t>
        </is>
      </c>
      <c r="K5" s="23" t="inlineStr">
        <is>
          <t>Functional</t>
        </is>
      </c>
      <c r="L5" s="23" t="inlineStr">
        <is>
          <t>Codex QA</t>
        </is>
      </c>
      <c r="M5" s="23" t="inlineStr">
        <is>
          <t>2026-07-20</t>
        </is>
      </c>
      <c r="N5" s="23" t="inlineStr">
        <is>
          <t>Smoke-tested on localhost:4200; API-backed values depend on local API data.</t>
        </is>
      </c>
    </row>
    <row r="6" ht="46" customHeight="1">
      <c r="A6" s="24" t="inlineStr">
        <is>
          <t>NOT-002</t>
        </is>
      </c>
      <c r="B6" s="24" t="inlineStr">
        <is>
          <t>Not Found</t>
        </is>
      </c>
      <c r="C6" s="24" t="inlineStr">
        <is>
          <t>Required-field validation</t>
        </is>
      </c>
      <c r="D6" s="24" t="inlineStr">
        <is>
          <t>Page contains a form</t>
        </is>
      </c>
      <c r="E6" s="24" t="inlineStr">
        <is>
          <t>Submit the form with all mandatory fields blank</t>
        </is>
      </c>
      <c r="F6" s="24" t="inlineStr">
        <is>
          <t>See steps</t>
        </is>
      </c>
      <c r="G6" s="24" t="inlineStr">
        <is>
          <t>Submission is blocked and each required field is identified.</t>
        </is>
      </c>
      <c r="H6" s="24" t="inlineStr">
        <is>
          <t>Not executed: requires isolated test data, credentials, or controlled API failure.</t>
        </is>
      </c>
      <c r="I6" s="24" t="inlineStr">
        <is>
          <t>Not Run</t>
        </is>
      </c>
      <c r="J6" s="24" t="inlineStr">
        <is>
          <t>Medium</t>
        </is>
      </c>
      <c r="K6" s="24" t="inlineStr">
        <is>
          <t>Functional</t>
        </is>
      </c>
      <c r="L6" s="24" t="inlineStr">
        <is>
          <t>Codex QA</t>
        </is>
      </c>
      <c r="M6" s="24" t="inlineStr">
        <is>
          <t>2026-07-20</t>
        </is>
      </c>
      <c r="N6" s="24" t="inlineStr">
        <is>
          <t>Designed from the implemented UI and service contract.</t>
        </is>
      </c>
    </row>
    <row r="7" ht="46" customHeight="1">
      <c r="A7" s="23" t="inlineStr">
        <is>
          <t>NOT-003</t>
        </is>
      </c>
      <c r="B7" s="23" t="inlineStr">
        <is>
          <t>Not Found</t>
        </is>
      </c>
      <c r="C7" s="23" t="inlineStr">
        <is>
          <t>Valid submission</t>
        </is>
      </c>
      <c r="D7" s="23" t="inlineStr">
        <is>
          <t>Dedicated non-production test data is available</t>
        </is>
      </c>
      <c r="E7" s="23" t="inlineStr">
        <is>
          <t>Enter valid values and submit</t>
        </is>
      </c>
      <c r="F7" s="23" t="inlineStr">
        <is>
          <t>See steps</t>
        </is>
      </c>
      <c r="G7" s="23" t="inlineStr">
        <is>
          <t>A success message appears and data persists once only.</t>
        </is>
      </c>
      <c r="H7" s="23" t="inlineStr">
        <is>
          <t>Not executed: requires isolated test data, credentials, or controlled API failure.</t>
        </is>
      </c>
      <c r="I7" s="23" t="inlineStr">
        <is>
          <t>Not Run</t>
        </is>
      </c>
      <c r="J7" s="23" t="inlineStr">
        <is>
          <t>High</t>
        </is>
      </c>
      <c r="K7" s="23" t="inlineStr">
        <is>
          <t>Functional</t>
        </is>
      </c>
      <c r="L7" s="23" t="inlineStr">
        <is>
          <t>Codex QA</t>
        </is>
      </c>
      <c r="M7" s="23" t="inlineStr">
        <is>
          <t>2026-07-20</t>
        </is>
      </c>
      <c r="N7" s="23" t="inlineStr">
        <is>
          <t>Designed from the implemented UI and service contract.</t>
        </is>
      </c>
    </row>
    <row r="8" ht="46" customHeight="1">
      <c r="A8" s="24" t="inlineStr">
        <is>
          <t>NOT-004</t>
        </is>
      </c>
      <c r="B8" s="24" t="inlineStr">
        <is>
          <t>Not Found</t>
        </is>
      </c>
      <c r="C8" s="24" t="inlineStr">
        <is>
          <t>Invalid input</t>
        </is>
      </c>
      <c r="D8" s="24" t="inlineStr">
        <is>
          <t>Page is loaded</t>
        </is>
      </c>
      <c r="E8" s="24" t="inlineStr">
        <is>
          <t>Enter invalid format, boundary value, and long text</t>
        </is>
      </c>
      <c r="F8" s="24" t="inlineStr">
        <is>
          <t>See steps</t>
        </is>
      </c>
      <c r="G8" s="24" t="inlineStr">
        <is>
          <t>Invalid input is rejected with useful feedback and no request with bad data.</t>
        </is>
      </c>
      <c r="H8" s="24" t="inlineStr">
        <is>
          <t>Not executed: requires isolated test data, credentials, or controlled API failure.</t>
        </is>
      </c>
      <c r="I8" s="24" t="inlineStr">
        <is>
          <t>Not Run</t>
        </is>
      </c>
      <c r="J8" s="24" t="inlineStr">
        <is>
          <t>Medium</t>
        </is>
      </c>
      <c r="K8" s="24" t="inlineStr">
        <is>
          <t>Functional</t>
        </is>
      </c>
      <c r="L8" s="24" t="inlineStr">
        <is>
          <t>Codex QA</t>
        </is>
      </c>
      <c r="M8" s="24" t="inlineStr">
        <is>
          <t>2026-07-20</t>
        </is>
      </c>
      <c r="N8" s="24" t="inlineStr">
        <is>
          <t>Designed from the implemented UI and service contract.</t>
        </is>
      </c>
    </row>
    <row r="9" ht="46" customHeight="1">
      <c r="A9" s="23" t="inlineStr">
        <is>
          <t>NOT-005</t>
        </is>
      </c>
      <c r="B9" s="23" t="inlineStr">
        <is>
          <t>Not Found</t>
        </is>
      </c>
      <c r="C9" s="23" t="inlineStr">
        <is>
          <t>Back/cancel navigation</t>
        </is>
      </c>
      <c r="D9" s="23" t="inlineStr">
        <is>
          <t>Page is loaded</t>
        </is>
      </c>
      <c r="E9" s="23" t="inlineStr">
        <is>
          <t>Use Back or Cancel after entering changes</t>
        </is>
      </c>
      <c r="F9" s="23" t="inlineStr">
        <is>
          <t>See steps</t>
        </is>
      </c>
      <c r="G9" s="23" t="inlineStr">
        <is>
          <t>User returns to the expected page without unintended changes.</t>
        </is>
      </c>
      <c r="H9" s="23" t="inlineStr">
        <is>
          <t>Not executed: requires isolated test data, credentials, or controlled API failure.</t>
        </is>
      </c>
      <c r="I9" s="23" t="inlineStr">
        <is>
          <t>Not Run</t>
        </is>
      </c>
      <c r="J9" s="23" t="inlineStr">
        <is>
          <t>Medium</t>
        </is>
      </c>
      <c r="K9" s="23" t="inlineStr">
        <is>
          <t>Functional</t>
        </is>
      </c>
      <c r="L9" s="23" t="inlineStr">
        <is>
          <t>Codex QA</t>
        </is>
      </c>
      <c r="M9" s="23" t="inlineStr">
        <is>
          <t>2026-07-20</t>
        </is>
      </c>
      <c r="N9" s="23" t="inlineStr">
        <is>
          <t>Designed from the implemented UI and service contract.</t>
        </is>
      </c>
    </row>
    <row r="10" ht="46" customHeight="1">
      <c r="A10" s="24" t="inlineStr">
        <is>
          <t>NOT-006</t>
        </is>
      </c>
      <c r="B10" s="24" t="inlineStr">
        <is>
          <t>Not Found</t>
        </is>
      </c>
      <c r="C10" s="24" t="inlineStr">
        <is>
          <t>API failure</t>
        </is>
      </c>
      <c r="D10" s="24" t="inlineStr">
        <is>
          <t>Network mocking or a test API is available</t>
        </is>
      </c>
      <c r="E10" s="24" t="inlineStr">
        <is>
          <t>Simulate an API 4xx/5xx response</t>
        </is>
      </c>
      <c r="F10" s="24" t="inlineStr">
        <is>
          <t>See steps</t>
        </is>
      </c>
      <c r="G10" s="24" t="inlineStr">
        <is>
          <t>A readable error is shown; the UI remains usable.</t>
        </is>
      </c>
      <c r="H10" s="24" t="inlineStr">
        <is>
          <t>Not executed: requires isolated test data, credentials, or controlled API failure.</t>
        </is>
      </c>
      <c r="I10" s="24" t="inlineStr">
        <is>
          <t>Not Run</t>
        </is>
      </c>
      <c r="J10" s="24" t="inlineStr">
        <is>
          <t>Medium</t>
        </is>
      </c>
      <c r="K10" s="24" t="inlineStr">
        <is>
          <t>Functional</t>
        </is>
      </c>
      <c r="L10" s="24" t="inlineStr">
        <is>
          <t>Codex QA</t>
        </is>
      </c>
      <c r="M10" s="24" t="inlineStr">
        <is>
          <t>2026-07-20</t>
        </is>
      </c>
      <c r="N10" s="24" t="inlineStr">
        <is>
          <t>Designed from the implemented UI and service contract.</t>
        </is>
      </c>
    </row>
    <row r="11" ht="46" customHeight="1">
      <c r="A11" s="23" t="inlineStr">
        <is>
          <t>NOT-007</t>
        </is>
      </c>
      <c r="B11" s="23" t="inlineStr">
        <is>
          <t>Not Found</t>
        </is>
      </c>
      <c r="C11" s="23" t="inlineStr">
        <is>
          <t>Authorization</t>
        </is>
      </c>
      <c r="D11" s="23" t="inlineStr">
        <is>
          <t>No authenticated session</t>
        </is>
      </c>
      <c r="E11" s="23" t="inlineStr">
        <is>
          <t>Open the page in a fresh browser session without a token</t>
        </is>
      </c>
      <c r="F11" s="23" t="inlineStr">
        <is>
          <t>See steps</t>
        </is>
      </c>
      <c r="G11" s="23" t="inlineStr">
        <is>
          <t>User is redirected to login and protected data is not exposed.</t>
        </is>
      </c>
      <c r="H11" s="23" t="inlineStr">
        <is>
          <t>Direct access is allowed without a client-side guard; protected route is rendered.</t>
        </is>
      </c>
      <c r="I11" s="23" t="inlineStr">
        <is>
          <t>Failed</t>
        </is>
      </c>
      <c r="J11" s="23" t="inlineStr">
        <is>
          <t>High</t>
        </is>
      </c>
      <c r="K11" s="23" t="inlineStr">
        <is>
          <t>Functional</t>
        </is>
      </c>
      <c r="L11" s="23" t="inlineStr">
        <is>
          <t>Codex QA</t>
        </is>
      </c>
      <c r="M11" s="23" t="inlineStr">
        <is>
          <t>2026-07-20</t>
        </is>
      </c>
      <c r="N11" s="23" t="inlineStr">
        <is>
          <t>Logged in Bug Report as QA-SEC-001.</t>
        </is>
      </c>
    </row>
    <row r="12" ht="46" customHeight="1">
      <c r="A12" s="24" t="inlineStr">
        <is>
          <t>NOT-008</t>
        </is>
      </c>
      <c r="B12" s="24" t="inlineStr">
        <is>
          <t>Not Found</t>
        </is>
      </c>
      <c r="C12" s="24" t="inlineStr">
        <is>
          <t>Responsive/accessibility</t>
        </is>
      </c>
      <c r="D12" s="24" t="inlineStr">
        <is>
          <t>Page is loaded</t>
        </is>
      </c>
      <c r="E12" s="24" t="inlineStr">
        <is>
          <t>Check keyboard navigation and desktop/tablet/mobile widths</t>
        </is>
      </c>
      <c r="F12" s="24" t="inlineStr">
        <is>
          <t>See steps</t>
        </is>
      </c>
      <c r="G12" s="24" t="inlineStr">
        <is>
          <t>Labels, focus order, contrast and layout remain usable.</t>
        </is>
      </c>
      <c r="H12" s="24" t="inlineStr">
        <is>
          <t>Not executed: requires isolated test data, credentials, or controlled API failure.</t>
        </is>
      </c>
      <c r="I12" s="24" t="inlineStr">
        <is>
          <t>Not Run</t>
        </is>
      </c>
      <c r="J12" s="24" t="inlineStr">
        <is>
          <t>Medium</t>
        </is>
      </c>
      <c r="K12" s="24" t="inlineStr">
        <is>
          <t>Functional</t>
        </is>
      </c>
      <c r="L12" s="24" t="inlineStr">
        <is>
          <t>Codex QA</t>
        </is>
      </c>
      <c r="M12" s="24" t="inlineStr">
        <is>
          <t>2026-07-20</t>
        </is>
      </c>
      <c r="N12" s="24" t="inlineStr">
        <is>
          <t>Designed from the implemented UI and service contract.</t>
        </is>
      </c>
    </row>
  </sheetData>
  <autoFilter ref="A4:N12"/>
  <mergeCells count="2">
    <mergeCell ref="A2:N2"/>
    <mergeCell ref="A1:N1"/>
  </mergeCells>
  <conditionalFormatting sqref="I5:I12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"Not Run"</formula>
    </cfRule>
    <cfRule type="cellIs" priority="4" operator="equal" dxfId="3">
      <formula>"Blocked"</formula>
    </cfRule>
  </conditionalFormatting>
  <dataValidations count="1">
    <dataValidation sqref="I5:I12" showDropDown="0" showInputMessage="0" showErrorMessage="0" allowBlank="0" type="list">
      <formula1>"Passed,Failed,Blocked,Not Run"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28" customWidth="1" min="4" max="4"/>
    <col width="40" customWidth="1" min="5" max="5"/>
    <col width="22" customWidth="1" min="6" max="6"/>
    <col width="38" customWidth="1" min="7" max="7"/>
    <col width="38" customWidth="1" min="8" max="8"/>
    <col width="14" customWidth="1" min="9" max="9"/>
    <col width="12" customWidth="1" min="10" max="10"/>
    <col width="15" customWidth="1" min="11" max="11"/>
    <col width="16" customWidth="1" min="12" max="12"/>
    <col width="16" customWidth="1" min="13" max="13"/>
    <col width="30" customWidth="1" min="14" max="14"/>
  </cols>
  <sheetData>
    <row r="1" ht="38" customHeight="1">
      <c r="A1" s="1" t="inlineStr">
        <is>
          <t>Engineer Personal Info</t>
        </is>
      </c>
    </row>
    <row r="2" ht="24" customHeight="1">
      <c r="A2" s="2" t="inlineStr">
        <is>
          <t>NTG Admin Module • QA test cases • Last updated: 2026-07-20</t>
        </is>
      </c>
    </row>
    <row r="4" ht="30" customHeight="1">
      <c r="A4" s="22" t="inlineStr">
        <is>
          <t>Test ID</t>
        </is>
      </c>
      <c r="B4" s="22" t="inlineStr">
        <is>
          <t>Feature</t>
        </is>
      </c>
      <c r="C4" s="22" t="inlineStr">
        <is>
          <t>Test Scenario</t>
        </is>
      </c>
      <c r="D4" s="22" t="inlineStr">
        <is>
          <t>Preconditions</t>
        </is>
      </c>
      <c r="E4" s="22" t="inlineStr">
        <is>
          <t>Test Steps</t>
        </is>
      </c>
      <c r="F4" s="22" t="inlineStr">
        <is>
          <t>Test Data</t>
        </is>
      </c>
      <c r="G4" s="22" t="inlineStr">
        <is>
          <t>Expected Result</t>
        </is>
      </c>
      <c r="H4" s="22" t="inlineStr">
        <is>
          <t>Actual Result</t>
        </is>
      </c>
      <c r="I4" s="22" t="inlineStr">
        <is>
          <t>Status</t>
        </is>
      </c>
      <c r="J4" s="22" t="inlineStr">
        <is>
          <t>Priority</t>
        </is>
      </c>
      <c r="K4" s="22" t="inlineStr">
        <is>
          <t>Test Type</t>
        </is>
      </c>
      <c r="L4" s="22" t="inlineStr">
        <is>
          <t>Tester</t>
        </is>
      </c>
      <c r="M4" s="22" t="inlineStr">
        <is>
          <t>Execution Date</t>
        </is>
      </c>
      <c r="N4" s="22" t="inlineStr">
        <is>
          <t>Notes</t>
        </is>
      </c>
    </row>
    <row r="5" ht="46" customHeight="1">
      <c r="A5" s="23" t="inlineStr">
        <is>
          <t>ENG-001</t>
        </is>
      </c>
      <c r="B5" s="23" t="inlineStr">
        <is>
          <t>Engineer Personal Info</t>
        </is>
      </c>
      <c r="C5" s="23" t="inlineStr">
        <is>
          <t>Page load</t>
        </is>
      </c>
      <c r="D5" s="23" t="inlineStr">
        <is>
          <t>Development server is running</t>
        </is>
      </c>
      <c r="E5" s="23" t="inlineStr">
        <is>
          <t>Open Engineer Personal Info</t>
        </is>
      </c>
      <c r="F5" s="23" t="inlineStr">
        <is>
          <t>See steps</t>
        </is>
      </c>
      <c r="G5" s="23" t="inlineStr">
        <is>
          <t>The page renders with its heading, sidebar and primary controls.</t>
        </is>
      </c>
      <c r="H5" s="23" t="inlineStr">
        <is>
          <t>Route and component are available through the local development server.</t>
        </is>
      </c>
      <c r="I5" s="23" t="inlineStr">
        <is>
          <t>Passed</t>
        </is>
      </c>
      <c r="J5" s="23" t="inlineStr">
        <is>
          <t>Medium</t>
        </is>
      </c>
      <c r="K5" s="23" t="inlineStr">
        <is>
          <t>Functional</t>
        </is>
      </c>
      <c r="L5" s="23" t="inlineStr">
        <is>
          <t>Codex QA</t>
        </is>
      </c>
      <c r="M5" s="23" t="inlineStr">
        <is>
          <t>2026-07-20</t>
        </is>
      </c>
      <c r="N5" s="23" t="inlineStr">
        <is>
          <t>Smoke-tested on localhost:4200; API-backed values depend on local API data.</t>
        </is>
      </c>
    </row>
    <row r="6" ht="46" customHeight="1">
      <c r="A6" s="24" t="inlineStr">
        <is>
          <t>ENG-002</t>
        </is>
      </c>
      <c r="B6" s="24" t="inlineStr">
        <is>
          <t>Engineer Personal Info</t>
        </is>
      </c>
      <c r="C6" s="24" t="inlineStr">
        <is>
          <t>Required-field validation</t>
        </is>
      </c>
      <c r="D6" s="24" t="inlineStr">
        <is>
          <t>Page contains a form</t>
        </is>
      </c>
      <c r="E6" s="24" t="inlineStr">
        <is>
          <t>Submit the form with all mandatory fields blank</t>
        </is>
      </c>
      <c r="F6" s="24" t="inlineStr">
        <is>
          <t>See steps</t>
        </is>
      </c>
      <c r="G6" s="24" t="inlineStr">
        <is>
          <t>Submission is blocked and each required field is identified.</t>
        </is>
      </c>
      <c r="H6" s="24" t="inlineStr">
        <is>
          <t>Not executed: requires isolated test data, credentials, or controlled API failure.</t>
        </is>
      </c>
      <c r="I6" s="24" t="inlineStr">
        <is>
          <t>Not Run</t>
        </is>
      </c>
      <c r="J6" s="24" t="inlineStr">
        <is>
          <t>Medium</t>
        </is>
      </c>
      <c r="K6" s="24" t="inlineStr">
        <is>
          <t>Functional</t>
        </is>
      </c>
      <c r="L6" s="24" t="inlineStr">
        <is>
          <t>Codex QA</t>
        </is>
      </c>
      <c r="M6" s="24" t="inlineStr">
        <is>
          <t>2026-07-20</t>
        </is>
      </c>
      <c r="N6" s="24" t="inlineStr">
        <is>
          <t>Designed from the implemented UI and service contract.</t>
        </is>
      </c>
    </row>
    <row r="7" ht="46" customHeight="1">
      <c r="A7" s="23" t="inlineStr">
        <is>
          <t>ENG-003</t>
        </is>
      </c>
      <c r="B7" s="23" t="inlineStr">
        <is>
          <t>Engineer Personal Info</t>
        </is>
      </c>
      <c r="C7" s="23" t="inlineStr">
        <is>
          <t>Valid submission</t>
        </is>
      </c>
      <c r="D7" s="23" t="inlineStr">
        <is>
          <t>Dedicated non-production test data is available</t>
        </is>
      </c>
      <c r="E7" s="23" t="inlineStr">
        <is>
          <t>Enter valid values and submit</t>
        </is>
      </c>
      <c r="F7" s="23" t="inlineStr">
        <is>
          <t>See steps</t>
        </is>
      </c>
      <c r="G7" s="23" t="inlineStr">
        <is>
          <t>A success message appears and data persists once only.</t>
        </is>
      </c>
      <c r="H7" s="23" t="inlineStr">
        <is>
          <t>Not executed: requires isolated test data, credentials, or controlled API failure.</t>
        </is>
      </c>
      <c r="I7" s="23" t="inlineStr">
        <is>
          <t>Not Run</t>
        </is>
      </c>
      <c r="J7" s="23" t="inlineStr">
        <is>
          <t>High</t>
        </is>
      </c>
      <c r="K7" s="23" t="inlineStr">
        <is>
          <t>Functional</t>
        </is>
      </c>
      <c r="L7" s="23" t="inlineStr">
        <is>
          <t>Codex QA</t>
        </is>
      </c>
      <c r="M7" s="23" t="inlineStr">
        <is>
          <t>2026-07-20</t>
        </is>
      </c>
      <c r="N7" s="23" t="inlineStr">
        <is>
          <t>Designed from the implemented UI and service contract.</t>
        </is>
      </c>
    </row>
    <row r="8" ht="46" customHeight="1">
      <c r="A8" s="24" t="inlineStr">
        <is>
          <t>ENG-004</t>
        </is>
      </c>
      <c r="B8" s="24" t="inlineStr">
        <is>
          <t>Engineer Personal Info</t>
        </is>
      </c>
      <c r="C8" s="24" t="inlineStr">
        <is>
          <t>Invalid input</t>
        </is>
      </c>
      <c r="D8" s="24" t="inlineStr">
        <is>
          <t>Page is loaded</t>
        </is>
      </c>
      <c r="E8" s="24" t="inlineStr">
        <is>
          <t>Enter invalid format, boundary value, and long text</t>
        </is>
      </c>
      <c r="F8" s="24" t="inlineStr">
        <is>
          <t>See steps</t>
        </is>
      </c>
      <c r="G8" s="24" t="inlineStr">
        <is>
          <t>Invalid input is rejected with useful feedback and no request with bad data.</t>
        </is>
      </c>
      <c r="H8" s="24" t="inlineStr">
        <is>
          <t>Not executed: requires isolated test data, credentials, or controlled API failure.</t>
        </is>
      </c>
      <c r="I8" s="24" t="inlineStr">
        <is>
          <t>Not Run</t>
        </is>
      </c>
      <c r="J8" s="24" t="inlineStr">
        <is>
          <t>Medium</t>
        </is>
      </c>
      <c r="K8" s="24" t="inlineStr">
        <is>
          <t>Functional</t>
        </is>
      </c>
      <c r="L8" s="24" t="inlineStr">
        <is>
          <t>Codex QA</t>
        </is>
      </c>
      <c r="M8" s="24" t="inlineStr">
        <is>
          <t>2026-07-20</t>
        </is>
      </c>
      <c r="N8" s="24" t="inlineStr">
        <is>
          <t>Designed from the implemented UI and service contract.</t>
        </is>
      </c>
    </row>
    <row r="9" ht="46" customHeight="1">
      <c r="A9" s="23" t="inlineStr">
        <is>
          <t>ENG-005</t>
        </is>
      </c>
      <c r="B9" s="23" t="inlineStr">
        <is>
          <t>Engineer Personal Info</t>
        </is>
      </c>
      <c r="C9" s="23" t="inlineStr">
        <is>
          <t>Back/cancel navigation</t>
        </is>
      </c>
      <c r="D9" s="23" t="inlineStr">
        <is>
          <t>Page is loaded</t>
        </is>
      </c>
      <c r="E9" s="23" t="inlineStr">
        <is>
          <t>Use Back or Cancel after entering changes</t>
        </is>
      </c>
      <c r="F9" s="23" t="inlineStr">
        <is>
          <t>See steps</t>
        </is>
      </c>
      <c r="G9" s="23" t="inlineStr">
        <is>
          <t>User returns to the expected page without unintended changes.</t>
        </is>
      </c>
      <c r="H9" s="23" t="inlineStr">
        <is>
          <t>Not executed: requires isolated test data, credentials, or controlled API failure.</t>
        </is>
      </c>
      <c r="I9" s="23" t="inlineStr">
        <is>
          <t>Not Run</t>
        </is>
      </c>
      <c r="J9" s="23" t="inlineStr">
        <is>
          <t>Medium</t>
        </is>
      </c>
      <c r="K9" s="23" t="inlineStr">
        <is>
          <t>Functional</t>
        </is>
      </c>
      <c r="L9" s="23" t="inlineStr">
        <is>
          <t>Codex QA</t>
        </is>
      </c>
      <c r="M9" s="23" t="inlineStr">
        <is>
          <t>2026-07-20</t>
        </is>
      </c>
      <c r="N9" s="23" t="inlineStr">
        <is>
          <t>Designed from the implemented UI and service contract.</t>
        </is>
      </c>
    </row>
    <row r="10" ht="46" customHeight="1">
      <c r="A10" s="24" t="inlineStr">
        <is>
          <t>ENG-006</t>
        </is>
      </c>
      <c r="B10" s="24" t="inlineStr">
        <is>
          <t>Engineer Personal Info</t>
        </is>
      </c>
      <c r="C10" s="24" t="inlineStr">
        <is>
          <t>API failure</t>
        </is>
      </c>
      <c r="D10" s="24" t="inlineStr">
        <is>
          <t>Network mocking or a test API is available</t>
        </is>
      </c>
      <c r="E10" s="24" t="inlineStr">
        <is>
          <t>Simulate an API 4xx/5xx response</t>
        </is>
      </c>
      <c r="F10" s="24" t="inlineStr">
        <is>
          <t>See steps</t>
        </is>
      </c>
      <c r="G10" s="24" t="inlineStr">
        <is>
          <t>A readable error is shown; the UI remains usable.</t>
        </is>
      </c>
      <c r="H10" s="24" t="inlineStr">
        <is>
          <t>Not executed: requires isolated test data, credentials, or controlled API failure.</t>
        </is>
      </c>
      <c r="I10" s="24" t="inlineStr">
        <is>
          <t>Not Run</t>
        </is>
      </c>
      <c r="J10" s="24" t="inlineStr">
        <is>
          <t>Medium</t>
        </is>
      </c>
      <c r="K10" s="24" t="inlineStr">
        <is>
          <t>Functional</t>
        </is>
      </c>
      <c r="L10" s="24" t="inlineStr">
        <is>
          <t>Codex QA</t>
        </is>
      </c>
      <c r="M10" s="24" t="inlineStr">
        <is>
          <t>2026-07-20</t>
        </is>
      </c>
      <c r="N10" s="24" t="inlineStr">
        <is>
          <t>Designed from the implemented UI and service contract.</t>
        </is>
      </c>
    </row>
    <row r="11" ht="46" customHeight="1">
      <c r="A11" s="23" t="inlineStr">
        <is>
          <t>ENG-007</t>
        </is>
      </c>
      <c r="B11" s="23" t="inlineStr">
        <is>
          <t>Engineer Personal Info</t>
        </is>
      </c>
      <c r="C11" s="23" t="inlineStr">
        <is>
          <t>Authorization</t>
        </is>
      </c>
      <c r="D11" s="23" t="inlineStr">
        <is>
          <t>No authenticated session</t>
        </is>
      </c>
      <c r="E11" s="23" t="inlineStr">
        <is>
          <t>Open the page in a fresh browser session without a token</t>
        </is>
      </c>
      <c r="F11" s="23" t="inlineStr">
        <is>
          <t>See steps</t>
        </is>
      </c>
      <c r="G11" s="23" t="inlineStr">
        <is>
          <t>User is redirected to login and protected data is not exposed.</t>
        </is>
      </c>
      <c r="H11" s="23" t="inlineStr">
        <is>
          <t>Direct access is allowed without a client-side guard; protected route is rendered.</t>
        </is>
      </c>
      <c r="I11" s="23" t="inlineStr">
        <is>
          <t>Failed</t>
        </is>
      </c>
      <c r="J11" s="23" t="inlineStr">
        <is>
          <t>High</t>
        </is>
      </c>
      <c r="K11" s="23" t="inlineStr">
        <is>
          <t>Functional</t>
        </is>
      </c>
      <c r="L11" s="23" t="inlineStr">
        <is>
          <t>Codex QA</t>
        </is>
      </c>
      <c r="M11" s="23" t="inlineStr">
        <is>
          <t>2026-07-20</t>
        </is>
      </c>
      <c r="N11" s="23" t="inlineStr">
        <is>
          <t>Logged in Bug Report as QA-SEC-001.</t>
        </is>
      </c>
    </row>
    <row r="12" ht="46" customHeight="1">
      <c r="A12" s="24" t="inlineStr">
        <is>
          <t>ENG-008</t>
        </is>
      </c>
      <c r="B12" s="24" t="inlineStr">
        <is>
          <t>Engineer Personal Info</t>
        </is>
      </c>
      <c r="C12" s="24" t="inlineStr">
        <is>
          <t>Responsive/accessibility</t>
        </is>
      </c>
      <c r="D12" s="24" t="inlineStr">
        <is>
          <t>Page is loaded</t>
        </is>
      </c>
      <c r="E12" s="24" t="inlineStr">
        <is>
          <t>Check keyboard navigation and desktop/tablet/mobile widths</t>
        </is>
      </c>
      <c r="F12" s="24" t="inlineStr">
        <is>
          <t>See steps</t>
        </is>
      </c>
      <c r="G12" s="24" t="inlineStr">
        <is>
          <t>Labels, focus order, contrast and layout remain usable.</t>
        </is>
      </c>
      <c r="H12" s="24" t="inlineStr">
        <is>
          <t>Not executed: requires isolated test data, credentials, or controlled API failure.</t>
        </is>
      </c>
      <c r="I12" s="24" t="inlineStr">
        <is>
          <t>Not Run</t>
        </is>
      </c>
      <c r="J12" s="24" t="inlineStr">
        <is>
          <t>Medium</t>
        </is>
      </c>
      <c r="K12" s="24" t="inlineStr">
        <is>
          <t>Functional</t>
        </is>
      </c>
      <c r="L12" s="24" t="inlineStr">
        <is>
          <t>Codex QA</t>
        </is>
      </c>
      <c r="M12" s="24" t="inlineStr">
        <is>
          <t>2026-07-20</t>
        </is>
      </c>
      <c r="N12" s="24" t="inlineStr">
        <is>
          <t>Designed from the implemented UI and service contract.</t>
        </is>
      </c>
    </row>
  </sheetData>
  <autoFilter ref="A4:N12"/>
  <mergeCells count="2">
    <mergeCell ref="A2:N2"/>
    <mergeCell ref="A1:N1"/>
  </mergeCells>
  <conditionalFormatting sqref="I5:I12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"Not Run"</formula>
    </cfRule>
    <cfRule type="cellIs" priority="4" operator="equal" dxfId="3">
      <formula>"Blocked"</formula>
    </cfRule>
  </conditionalFormatting>
  <dataValidations count="1">
    <dataValidation sqref="I5:I12" showDropDown="0" showInputMessage="0" showErrorMessage="0" allowBlank="0" type="list">
      <formula1>"Passed,Failed,Blocked,Not Run"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28" customWidth="1" min="4" max="4"/>
    <col width="40" customWidth="1" min="5" max="5"/>
    <col width="22" customWidth="1" min="6" max="6"/>
    <col width="38" customWidth="1" min="7" max="7"/>
    <col width="38" customWidth="1" min="8" max="8"/>
    <col width="14" customWidth="1" min="9" max="9"/>
    <col width="12" customWidth="1" min="10" max="10"/>
    <col width="15" customWidth="1" min="11" max="11"/>
    <col width="16" customWidth="1" min="12" max="12"/>
    <col width="16" customWidth="1" min="13" max="13"/>
    <col width="30" customWidth="1" min="14" max="14"/>
  </cols>
  <sheetData>
    <row r="1" ht="38" customHeight="1">
      <c r="A1" s="1" t="inlineStr">
        <is>
          <t>Training Program Students</t>
        </is>
      </c>
    </row>
    <row r="2" ht="24" customHeight="1">
      <c r="A2" s="2" t="inlineStr">
        <is>
          <t>NTG Admin Module • QA test cases • Last updated: 2026-07-20</t>
        </is>
      </c>
    </row>
    <row r="4" ht="30" customHeight="1">
      <c r="A4" s="22" t="inlineStr">
        <is>
          <t>Test ID</t>
        </is>
      </c>
      <c r="B4" s="22" t="inlineStr">
        <is>
          <t>Feature</t>
        </is>
      </c>
      <c r="C4" s="22" t="inlineStr">
        <is>
          <t>Test Scenario</t>
        </is>
      </c>
      <c r="D4" s="22" t="inlineStr">
        <is>
          <t>Preconditions</t>
        </is>
      </c>
      <c r="E4" s="22" t="inlineStr">
        <is>
          <t>Test Steps</t>
        </is>
      </c>
      <c r="F4" s="22" t="inlineStr">
        <is>
          <t>Test Data</t>
        </is>
      </c>
      <c r="G4" s="22" t="inlineStr">
        <is>
          <t>Expected Result</t>
        </is>
      </c>
      <c r="H4" s="22" t="inlineStr">
        <is>
          <t>Actual Result</t>
        </is>
      </c>
      <c r="I4" s="22" t="inlineStr">
        <is>
          <t>Status</t>
        </is>
      </c>
      <c r="J4" s="22" t="inlineStr">
        <is>
          <t>Priority</t>
        </is>
      </c>
      <c r="K4" s="22" t="inlineStr">
        <is>
          <t>Test Type</t>
        </is>
      </c>
      <c r="L4" s="22" t="inlineStr">
        <is>
          <t>Tester</t>
        </is>
      </c>
      <c r="M4" s="22" t="inlineStr">
        <is>
          <t>Execution Date</t>
        </is>
      </c>
      <c r="N4" s="22" t="inlineStr">
        <is>
          <t>Notes</t>
        </is>
      </c>
    </row>
    <row r="5" ht="46" customHeight="1">
      <c r="A5" s="23" t="inlineStr">
        <is>
          <t>TRA-001</t>
        </is>
      </c>
      <c r="B5" s="23" t="inlineStr">
        <is>
          <t>Training Program Students</t>
        </is>
      </c>
      <c r="C5" s="23" t="inlineStr">
        <is>
          <t>Page load</t>
        </is>
      </c>
      <c r="D5" s="23" t="inlineStr">
        <is>
          <t>Development server is running</t>
        </is>
      </c>
      <c r="E5" s="23" t="inlineStr">
        <is>
          <t>Open Training Program Students</t>
        </is>
      </c>
      <c r="F5" s="23" t="inlineStr">
        <is>
          <t>See steps</t>
        </is>
      </c>
      <c r="G5" s="23" t="inlineStr">
        <is>
          <t>The page renders with its heading, sidebar and primary controls.</t>
        </is>
      </c>
      <c r="H5" s="23" t="inlineStr">
        <is>
          <t>Route and component are available through the local development server.</t>
        </is>
      </c>
      <c r="I5" s="23" t="inlineStr">
        <is>
          <t>Passed</t>
        </is>
      </c>
      <c r="J5" s="23" t="inlineStr">
        <is>
          <t>Medium</t>
        </is>
      </c>
      <c r="K5" s="23" t="inlineStr">
        <is>
          <t>Functional</t>
        </is>
      </c>
      <c r="L5" s="23" t="inlineStr">
        <is>
          <t>Codex QA</t>
        </is>
      </c>
      <c r="M5" s="23" t="inlineStr">
        <is>
          <t>2026-07-20</t>
        </is>
      </c>
      <c r="N5" s="23" t="inlineStr">
        <is>
          <t>Smoke-tested on localhost:4200; API-backed values depend on local API data.</t>
        </is>
      </c>
    </row>
    <row r="6" ht="46" customHeight="1">
      <c r="A6" s="24" t="inlineStr">
        <is>
          <t>TRA-002</t>
        </is>
      </c>
      <c r="B6" s="24" t="inlineStr">
        <is>
          <t>Training Program Students</t>
        </is>
      </c>
      <c r="C6" s="24" t="inlineStr">
        <is>
          <t>Required-field validation</t>
        </is>
      </c>
      <c r="D6" s="24" t="inlineStr">
        <is>
          <t>Page contains a form</t>
        </is>
      </c>
      <c r="E6" s="24" t="inlineStr">
        <is>
          <t>Submit the form with all mandatory fields blank</t>
        </is>
      </c>
      <c r="F6" s="24" t="inlineStr">
        <is>
          <t>See steps</t>
        </is>
      </c>
      <c r="G6" s="24" t="inlineStr">
        <is>
          <t>Submission is blocked and each required field is identified.</t>
        </is>
      </c>
      <c r="H6" s="24" t="inlineStr">
        <is>
          <t>Not executed: requires isolated test data, credentials, or controlled API failure.</t>
        </is>
      </c>
      <c r="I6" s="24" t="inlineStr">
        <is>
          <t>Not Run</t>
        </is>
      </c>
      <c r="J6" s="24" t="inlineStr">
        <is>
          <t>Medium</t>
        </is>
      </c>
      <c r="K6" s="24" t="inlineStr">
        <is>
          <t>Functional</t>
        </is>
      </c>
      <c r="L6" s="24" t="inlineStr">
        <is>
          <t>Codex QA</t>
        </is>
      </c>
      <c r="M6" s="24" t="inlineStr">
        <is>
          <t>2026-07-20</t>
        </is>
      </c>
      <c r="N6" s="24" t="inlineStr">
        <is>
          <t>Designed from the implemented UI and service contract.</t>
        </is>
      </c>
    </row>
    <row r="7" ht="46" customHeight="1">
      <c r="A7" s="23" t="inlineStr">
        <is>
          <t>TRA-003</t>
        </is>
      </c>
      <c r="B7" s="23" t="inlineStr">
        <is>
          <t>Training Program Students</t>
        </is>
      </c>
      <c r="C7" s="23" t="inlineStr">
        <is>
          <t>Valid submission</t>
        </is>
      </c>
      <c r="D7" s="23" t="inlineStr">
        <is>
          <t>Dedicated non-production test data is available</t>
        </is>
      </c>
      <c r="E7" s="23" t="inlineStr">
        <is>
          <t>Enter valid values and submit</t>
        </is>
      </c>
      <c r="F7" s="23" t="inlineStr">
        <is>
          <t>See steps</t>
        </is>
      </c>
      <c r="G7" s="23" t="inlineStr">
        <is>
          <t>A success message appears and data persists once only.</t>
        </is>
      </c>
      <c r="H7" s="23" t="inlineStr">
        <is>
          <t>Not executed: requires isolated test data, credentials, or controlled API failure.</t>
        </is>
      </c>
      <c r="I7" s="23" t="inlineStr">
        <is>
          <t>Not Run</t>
        </is>
      </c>
      <c r="J7" s="23" t="inlineStr">
        <is>
          <t>High</t>
        </is>
      </c>
      <c r="K7" s="23" t="inlineStr">
        <is>
          <t>Functional</t>
        </is>
      </c>
      <c r="L7" s="23" t="inlineStr">
        <is>
          <t>Codex QA</t>
        </is>
      </c>
      <c r="M7" s="23" t="inlineStr">
        <is>
          <t>2026-07-20</t>
        </is>
      </c>
      <c r="N7" s="23" t="inlineStr">
        <is>
          <t>Designed from the implemented UI and service contract.</t>
        </is>
      </c>
    </row>
    <row r="8" ht="46" customHeight="1">
      <c r="A8" s="24" t="inlineStr">
        <is>
          <t>TRA-004</t>
        </is>
      </c>
      <c r="B8" s="24" t="inlineStr">
        <is>
          <t>Training Program Students</t>
        </is>
      </c>
      <c r="C8" s="24" t="inlineStr">
        <is>
          <t>Invalid input</t>
        </is>
      </c>
      <c r="D8" s="24" t="inlineStr">
        <is>
          <t>Page is loaded</t>
        </is>
      </c>
      <c r="E8" s="24" t="inlineStr">
        <is>
          <t>Enter invalid format, boundary value, and long text</t>
        </is>
      </c>
      <c r="F8" s="24" t="inlineStr">
        <is>
          <t>See steps</t>
        </is>
      </c>
      <c r="G8" s="24" t="inlineStr">
        <is>
          <t>Invalid input is rejected with useful feedback and no request with bad data.</t>
        </is>
      </c>
      <c r="H8" s="24" t="inlineStr">
        <is>
          <t>Not executed: requires isolated test data, credentials, or controlled API failure.</t>
        </is>
      </c>
      <c r="I8" s="24" t="inlineStr">
        <is>
          <t>Not Run</t>
        </is>
      </c>
      <c r="J8" s="24" t="inlineStr">
        <is>
          <t>Medium</t>
        </is>
      </c>
      <c r="K8" s="24" t="inlineStr">
        <is>
          <t>Functional</t>
        </is>
      </c>
      <c r="L8" s="24" t="inlineStr">
        <is>
          <t>Codex QA</t>
        </is>
      </c>
      <c r="M8" s="24" t="inlineStr">
        <is>
          <t>2026-07-20</t>
        </is>
      </c>
      <c r="N8" s="24" t="inlineStr">
        <is>
          <t>Designed from the implemented UI and service contract.</t>
        </is>
      </c>
    </row>
    <row r="9" ht="46" customHeight="1">
      <c r="A9" s="23" t="inlineStr">
        <is>
          <t>TRA-005</t>
        </is>
      </c>
      <c r="B9" s="23" t="inlineStr">
        <is>
          <t>Training Program Students</t>
        </is>
      </c>
      <c r="C9" s="23" t="inlineStr">
        <is>
          <t>Back/cancel navigation</t>
        </is>
      </c>
      <c r="D9" s="23" t="inlineStr">
        <is>
          <t>Page is loaded</t>
        </is>
      </c>
      <c r="E9" s="23" t="inlineStr">
        <is>
          <t>Use Back or Cancel after entering changes</t>
        </is>
      </c>
      <c r="F9" s="23" t="inlineStr">
        <is>
          <t>See steps</t>
        </is>
      </c>
      <c r="G9" s="23" t="inlineStr">
        <is>
          <t>User returns to the expected page without unintended changes.</t>
        </is>
      </c>
      <c r="H9" s="23" t="inlineStr">
        <is>
          <t>Not executed: requires isolated test data, credentials, or controlled API failure.</t>
        </is>
      </c>
      <c r="I9" s="23" t="inlineStr">
        <is>
          <t>Not Run</t>
        </is>
      </c>
      <c r="J9" s="23" t="inlineStr">
        <is>
          <t>Medium</t>
        </is>
      </c>
      <c r="K9" s="23" t="inlineStr">
        <is>
          <t>Functional</t>
        </is>
      </c>
      <c r="L9" s="23" t="inlineStr">
        <is>
          <t>Codex QA</t>
        </is>
      </c>
      <c r="M9" s="23" t="inlineStr">
        <is>
          <t>2026-07-20</t>
        </is>
      </c>
      <c r="N9" s="23" t="inlineStr">
        <is>
          <t>Designed from the implemented UI and service contract.</t>
        </is>
      </c>
    </row>
    <row r="10" ht="46" customHeight="1">
      <c r="A10" s="24" t="inlineStr">
        <is>
          <t>TRA-006</t>
        </is>
      </c>
      <c r="B10" s="24" t="inlineStr">
        <is>
          <t>Training Program Students</t>
        </is>
      </c>
      <c r="C10" s="24" t="inlineStr">
        <is>
          <t>API failure</t>
        </is>
      </c>
      <c r="D10" s="24" t="inlineStr">
        <is>
          <t>Network mocking or a test API is available</t>
        </is>
      </c>
      <c r="E10" s="24" t="inlineStr">
        <is>
          <t>Simulate an API 4xx/5xx response</t>
        </is>
      </c>
      <c r="F10" s="24" t="inlineStr">
        <is>
          <t>See steps</t>
        </is>
      </c>
      <c r="G10" s="24" t="inlineStr">
        <is>
          <t>A readable error is shown; the UI remains usable.</t>
        </is>
      </c>
      <c r="H10" s="24" t="inlineStr">
        <is>
          <t>Not executed: requires isolated test data, credentials, or controlled API failure.</t>
        </is>
      </c>
      <c r="I10" s="24" t="inlineStr">
        <is>
          <t>Not Run</t>
        </is>
      </c>
      <c r="J10" s="24" t="inlineStr">
        <is>
          <t>Medium</t>
        </is>
      </c>
      <c r="K10" s="24" t="inlineStr">
        <is>
          <t>Functional</t>
        </is>
      </c>
      <c r="L10" s="24" t="inlineStr">
        <is>
          <t>Codex QA</t>
        </is>
      </c>
      <c r="M10" s="24" t="inlineStr">
        <is>
          <t>2026-07-20</t>
        </is>
      </c>
      <c r="N10" s="24" t="inlineStr">
        <is>
          <t>Designed from the implemented UI and service contract.</t>
        </is>
      </c>
    </row>
    <row r="11" ht="46" customHeight="1">
      <c r="A11" s="23" t="inlineStr">
        <is>
          <t>TRA-007</t>
        </is>
      </c>
      <c r="B11" s="23" t="inlineStr">
        <is>
          <t>Training Program Students</t>
        </is>
      </c>
      <c r="C11" s="23" t="inlineStr">
        <is>
          <t>Authorization</t>
        </is>
      </c>
      <c r="D11" s="23" t="inlineStr">
        <is>
          <t>No authenticated session</t>
        </is>
      </c>
      <c r="E11" s="23" t="inlineStr">
        <is>
          <t>Open the page in a fresh browser session without a token</t>
        </is>
      </c>
      <c r="F11" s="23" t="inlineStr">
        <is>
          <t>See steps</t>
        </is>
      </c>
      <c r="G11" s="23" t="inlineStr">
        <is>
          <t>User is redirected to login and protected data is not exposed.</t>
        </is>
      </c>
      <c r="H11" s="23" t="inlineStr">
        <is>
          <t>Direct access is allowed without a client-side guard; protected route is rendered.</t>
        </is>
      </c>
      <c r="I11" s="23" t="inlineStr">
        <is>
          <t>Failed</t>
        </is>
      </c>
      <c r="J11" s="23" t="inlineStr">
        <is>
          <t>High</t>
        </is>
      </c>
      <c r="K11" s="23" t="inlineStr">
        <is>
          <t>Functional</t>
        </is>
      </c>
      <c r="L11" s="23" t="inlineStr">
        <is>
          <t>Codex QA</t>
        </is>
      </c>
      <c r="M11" s="23" t="inlineStr">
        <is>
          <t>2026-07-20</t>
        </is>
      </c>
      <c r="N11" s="23" t="inlineStr">
        <is>
          <t>Logged in Bug Report as QA-SEC-001.</t>
        </is>
      </c>
    </row>
    <row r="12" ht="46" customHeight="1">
      <c r="A12" s="24" t="inlineStr">
        <is>
          <t>TRA-008</t>
        </is>
      </c>
      <c r="B12" s="24" t="inlineStr">
        <is>
          <t>Training Program Students</t>
        </is>
      </c>
      <c r="C12" s="24" t="inlineStr">
        <is>
          <t>Responsive/accessibility</t>
        </is>
      </c>
      <c r="D12" s="24" t="inlineStr">
        <is>
          <t>Page is loaded</t>
        </is>
      </c>
      <c r="E12" s="24" t="inlineStr">
        <is>
          <t>Check keyboard navigation and desktop/tablet/mobile widths</t>
        </is>
      </c>
      <c r="F12" s="24" t="inlineStr">
        <is>
          <t>See steps</t>
        </is>
      </c>
      <c r="G12" s="24" t="inlineStr">
        <is>
          <t>Labels, focus order, contrast and layout remain usable.</t>
        </is>
      </c>
      <c r="H12" s="24" t="inlineStr">
        <is>
          <t>Not executed: requires isolated test data, credentials, or controlled API failure.</t>
        </is>
      </c>
      <c r="I12" s="24" t="inlineStr">
        <is>
          <t>Not Run</t>
        </is>
      </c>
      <c r="J12" s="24" t="inlineStr">
        <is>
          <t>Medium</t>
        </is>
      </c>
      <c r="K12" s="24" t="inlineStr">
        <is>
          <t>Functional</t>
        </is>
      </c>
      <c r="L12" s="24" t="inlineStr">
        <is>
          <t>Codex QA</t>
        </is>
      </c>
      <c r="M12" s="24" t="inlineStr">
        <is>
          <t>2026-07-20</t>
        </is>
      </c>
      <c r="N12" s="24" t="inlineStr">
        <is>
          <t>Designed from the implemented UI and service contract.</t>
        </is>
      </c>
    </row>
  </sheetData>
  <autoFilter ref="A4:N12"/>
  <mergeCells count="2">
    <mergeCell ref="A2:N2"/>
    <mergeCell ref="A1:N1"/>
  </mergeCells>
  <conditionalFormatting sqref="I5:I12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"Not Run"</formula>
    </cfRule>
    <cfRule type="cellIs" priority="4" operator="equal" dxfId="3">
      <formula>"Blocked"</formula>
    </cfRule>
  </conditionalFormatting>
  <dataValidations count="1">
    <dataValidation sqref="I5:I12" showDropDown="0" showInputMessage="0" showErrorMessage="0" allowBlank="0" type="list">
      <formula1>"Passed,Failed,Blocked,Not Run"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28" customWidth="1" min="4" max="4"/>
    <col width="40" customWidth="1" min="5" max="5"/>
    <col width="22" customWidth="1" min="6" max="6"/>
    <col width="38" customWidth="1" min="7" max="7"/>
    <col width="38" customWidth="1" min="8" max="8"/>
    <col width="14" customWidth="1" min="9" max="9"/>
    <col width="12" customWidth="1" min="10" max="10"/>
    <col width="15" customWidth="1" min="11" max="11"/>
    <col width="16" customWidth="1" min="12" max="12"/>
    <col width="16" customWidth="1" min="13" max="13"/>
    <col width="30" customWidth="1" min="14" max="14"/>
  </cols>
  <sheetData>
    <row r="1" ht="38" customHeight="1">
      <c r="A1" s="1" t="inlineStr">
        <is>
          <t>Training Program Engineers</t>
        </is>
      </c>
    </row>
    <row r="2" ht="24" customHeight="1">
      <c r="A2" s="2" t="inlineStr">
        <is>
          <t>NTG Admin Module • QA test cases • Last updated: 2026-07-20</t>
        </is>
      </c>
    </row>
    <row r="4" ht="30" customHeight="1">
      <c r="A4" s="22" t="inlineStr">
        <is>
          <t>Test ID</t>
        </is>
      </c>
      <c r="B4" s="22" t="inlineStr">
        <is>
          <t>Feature</t>
        </is>
      </c>
      <c r="C4" s="22" t="inlineStr">
        <is>
          <t>Test Scenario</t>
        </is>
      </c>
      <c r="D4" s="22" t="inlineStr">
        <is>
          <t>Preconditions</t>
        </is>
      </c>
      <c r="E4" s="22" t="inlineStr">
        <is>
          <t>Test Steps</t>
        </is>
      </c>
      <c r="F4" s="22" t="inlineStr">
        <is>
          <t>Test Data</t>
        </is>
      </c>
      <c r="G4" s="22" t="inlineStr">
        <is>
          <t>Expected Result</t>
        </is>
      </c>
      <c r="H4" s="22" t="inlineStr">
        <is>
          <t>Actual Result</t>
        </is>
      </c>
      <c r="I4" s="22" t="inlineStr">
        <is>
          <t>Status</t>
        </is>
      </c>
      <c r="J4" s="22" t="inlineStr">
        <is>
          <t>Priority</t>
        </is>
      </c>
      <c r="K4" s="22" t="inlineStr">
        <is>
          <t>Test Type</t>
        </is>
      </c>
      <c r="L4" s="22" t="inlineStr">
        <is>
          <t>Tester</t>
        </is>
      </c>
      <c r="M4" s="22" t="inlineStr">
        <is>
          <t>Execution Date</t>
        </is>
      </c>
      <c r="N4" s="22" t="inlineStr">
        <is>
          <t>Notes</t>
        </is>
      </c>
    </row>
    <row r="5" ht="46" customHeight="1">
      <c r="A5" s="23" t="inlineStr">
        <is>
          <t>TRA-001</t>
        </is>
      </c>
      <c r="B5" s="23" t="inlineStr">
        <is>
          <t>Training Program Engineers</t>
        </is>
      </c>
      <c r="C5" s="23" t="inlineStr">
        <is>
          <t>Page load</t>
        </is>
      </c>
      <c r="D5" s="23" t="inlineStr">
        <is>
          <t>Development server is running</t>
        </is>
      </c>
      <c r="E5" s="23" t="inlineStr">
        <is>
          <t>Open Training Program Engineers</t>
        </is>
      </c>
      <c r="F5" s="23" t="inlineStr">
        <is>
          <t>See steps</t>
        </is>
      </c>
      <c r="G5" s="23" t="inlineStr">
        <is>
          <t>The page renders with its heading, sidebar and primary controls.</t>
        </is>
      </c>
      <c r="H5" s="23" t="inlineStr">
        <is>
          <t>Route and component are available through the local development server.</t>
        </is>
      </c>
      <c r="I5" s="23" t="inlineStr">
        <is>
          <t>Passed</t>
        </is>
      </c>
      <c r="J5" s="23" t="inlineStr">
        <is>
          <t>Medium</t>
        </is>
      </c>
      <c r="K5" s="23" t="inlineStr">
        <is>
          <t>Functional</t>
        </is>
      </c>
      <c r="L5" s="23" t="inlineStr">
        <is>
          <t>Codex QA</t>
        </is>
      </c>
      <c r="M5" s="23" t="inlineStr">
        <is>
          <t>2026-07-20</t>
        </is>
      </c>
      <c r="N5" s="23" t="inlineStr">
        <is>
          <t>Smoke-tested on localhost:4200; API-backed values depend on local API data.</t>
        </is>
      </c>
    </row>
    <row r="6" ht="46" customHeight="1">
      <c r="A6" s="24" t="inlineStr">
        <is>
          <t>TRA-002</t>
        </is>
      </c>
      <c r="B6" s="24" t="inlineStr">
        <is>
          <t>Training Program Engineers</t>
        </is>
      </c>
      <c r="C6" s="24" t="inlineStr">
        <is>
          <t>Required-field validation</t>
        </is>
      </c>
      <c r="D6" s="24" t="inlineStr">
        <is>
          <t>Page contains a form</t>
        </is>
      </c>
      <c r="E6" s="24" t="inlineStr">
        <is>
          <t>Submit the form with all mandatory fields blank</t>
        </is>
      </c>
      <c r="F6" s="24" t="inlineStr">
        <is>
          <t>See steps</t>
        </is>
      </c>
      <c r="G6" s="24" t="inlineStr">
        <is>
          <t>Submission is blocked and each required field is identified.</t>
        </is>
      </c>
      <c r="H6" s="24" t="inlineStr">
        <is>
          <t>Not executed: requires isolated test data, credentials, or controlled API failure.</t>
        </is>
      </c>
      <c r="I6" s="24" t="inlineStr">
        <is>
          <t>Not Run</t>
        </is>
      </c>
      <c r="J6" s="24" t="inlineStr">
        <is>
          <t>Medium</t>
        </is>
      </c>
      <c r="K6" s="24" t="inlineStr">
        <is>
          <t>Functional</t>
        </is>
      </c>
      <c r="L6" s="24" t="inlineStr">
        <is>
          <t>Codex QA</t>
        </is>
      </c>
      <c r="M6" s="24" t="inlineStr">
        <is>
          <t>2026-07-20</t>
        </is>
      </c>
      <c r="N6" s="24" t="inlineStr">
        <is>
          <t>Designed from the implemented UI and service contract.</t>
        </is>
      </c>
    </row>
    <row r="7" ht="46" customHeight="1">
      <c r="A7" s="23" t="inlineStr">
        <is>
          <t>TRA-003</t>
        </is>
      </c>
      <c r="B7" s="23" t="inlineStr">
        <is>
          <t>Training Program Engineers</t>
        </is>
      </c>
      <c r="C7" s="23" t="inlineStr">
        <is>
          <t>Valid submission</t>
        </is>
      </c>
      <c r="D7" s="23" t="inlineStr">
        <is>
          <t>Dedicated non-production test data is available</t>
        </is>
      </c>
      <c r="E7" s="23" t="inlineStr">
        <is>
          <t>Enter valid values and submit</t>
        </is>
      </c>
      <c r="F7" s="23" t="inlineStr">
        <is>
          <t>See steps</t>
        </is>
      </c>
      <c r="G7" s="23" t="inlineStr">
        <is>
          <t>A success message appears and data persists once only.</t>
        </is>
      </c>
      <c r="H7" s="23" t="inlineStr">
        <is>
          <t>Not executed: requires isolated test data, credentials, or controlled API failure.</t>
        </is>
      </c>
      <c r="I7" s="23" t="inlineStr">
        <is>
          <t>Not Run</t>
        </is>
      </c>
      <c r="J7" s="23" t="inlineStr">
        <is>
          <t>High</t>
        </is>
      </c>
      <c r="K7" s="23" t="inlineStr">
        <is>
          <t>Functional</t>
        </is>
      </c>
      <c r="L7" s="23" t="inlineStr">
        <is>
          <t>Codex QA</t>
        </is>
      </c>
      <c r="M7" s="23" t="inlineStr">
        <is>
          <t>2026-07-20</t>
        </is>
      </c>
      <c r="N7" s="23" t="inlineStr">
        <is>
          <t>Designed from the implemented UI and service contract.</t>
        </is>
      </c>
    </row>
    <row r="8" ht="46" customHeight="1">
      <c r="A8" s="24" t="inlineStr">
        <is>
          <t>TRA-004</t>
        </is>
      </c>
      <c r="B8" s="24" t="inlineStr">
        <is>
          <t>Training Program Engineers</t>
        </is>
      </c>
      <c r="C8" s="24" t="inlineStr">
        <is>
          <t>Invalid input</t>
        </is>
      </c>
      <c r="D8" s="24" t="inlineStr">
        <is>
          <t>Page is loaded</t>
        </is>
      </c>
      <c r="E8" s="24" t="inlineStr">
        <is>
          <t>Enter invalid format, boundary value, and long text</t>
        </is>
      </c>
      <c r="F8" s="24" t="inlineStr">
        <is>
          <t>See steps</t>
        </is>
      </c>
      <c r="G8" s="24" t="inlineStr">
        <is>
          <t>Invalid input is rejected with useful feedback and no request with bad data.</t>
        </is>
      </c>
      <c r="H8" s="24" t="inlineStr">
        <is>
          <t>Not executed: requires isolated test data, credentials, or controlled API failure.</t>
        </is>
      </c>
      <c r="I8" s="24" t="inlineStr">
        <is>
          <t>Not Run</t>
        </is>
      </c>
      <c r="J8" s="24" t="inlineStr">
        <is>
          <t>Medium</t>
        </is>
      </c>
      <c r="K8" s="24" t="inlineStr">
        <is>
          <t>Functional</t>
        </is>
      </c>
      <c r="L8" s="24" t="inlineStr">
        <is>
          <t>Codex QA</t>
        </is>
      </c>
      <c r="M8" s="24" t="inlineStr">
        <is>
          <t>2026-07-20</t>
        </is>
      </c>
      <c r="N8" s="24" t="inlineStr">
        <is>
          <t>Designed from the implemented UI and service contract.</t>
        </is>
      </c>
    </row>
    <row r="9" ht="46" customHeight="1">
      <c r="A9" s="23" t="inlineStr">
        <is>
          <t>TRA-005</t>
        </is>
      </c>
      <c r="B9" s="23" t="inlineStr">
        <is>
          <t>Training Program Engineers</t>
        </is>
      </c>
      <c r="C9" s="23" t="inlineStr">
        <is>
          <t>Back/cancel navigation</t>
        </is>
      </c>
      <c r="D9" s="23" t="inlineStr">
        <is>
          <t>Page is loaded</t>
        </is>
      </c>
      <c r="E9" s="23" t="inlineStr">
        <is>
          <t>Use Back or Cancel after entering changes</t>
        </is>
      </c>
      <c r="F9" s="23" t="inlineStr">
        <is>
          <t>See steps</t>
        </is>
      </c>
      <c r="G9" s="23" t="inlineStr">
        <is>
          <t>User returns to the expected page without unintended changes.</t>
        </is>
      </c>
      <c r="H9" s="23" t="inlineStr">
        <is>
          <t>Not executed: requires isolated test data, credentials, or controlled API failure.</t>
        </is>
      </c>
      <c r="I9" s="23" t="inlineStr">
        <is>
          <t>Not Run</t>
        </is>
      </c>
      <c r="J9" s="23" t="inlineStr">
        <is>
          <t>Medium</t>
        </is>
      </c>
      <c r="K9" s="23" t="inlineStr">
        <is>
          <t>Functional</t>
        </is>
      </c>
      <c r="L9" s="23" t="inlineStr">
        <is>
          <t>Codex QA</t>
        </is>
      </c>
      <c r="M9" s="23" t="inlineStr">
        <is>
          <t>2026-07-20</t>
        </is>
      </c>
      <c r="N9" s="23" t="inlineStr">
        <is>
          <t>Designed from the implemented UI and service contract.</t>
        </is>
      </c>
    </row>
    <row r="10" ht="46" customHeight="1">
      <c r="A10" s="24" t="inlineStr">
        <is>
          <t>TRA-006</t>
        </is>
      </c>
      <c r="B10" s="24" t="inlineStr">
        <is>
          <t>Training Program Engineers</t>
        </is>
      </c>
      <c r="C10" s="24" t="inlineStr">
        <is>
          <t>API failure</t>
        </is>
      </c>
      <c r="D10" s="24" t="inlineStr">
        <is>
          <t>Network mocking or a test API is available</t>
        </is>
      </c>
      <c r="E10" s="24" t="inlineStr">
        <is>
          <t>Simulate an API 4xx/5xx response</t>
        </is>
      </c>
      <c r="F10" s="24" t="inlineStr">
        <is>
          <t>See steps</t>
        </is>
      </c>
      <c r="G10" s="24" t="inlineStr">
        <is>
          <t>A readable error is shown; the UI remains usable.</t>
        </is>
      </c>
      <c r="H10" s="24" t="inlineStr">
        <is>
          <t>Not executed: requires isolated test data, credentials, or controlled API failure.</t>
        </is>
      </c>
      <c r="I10" s="24" t="inlineStr">
        <is>
          <t>Not Run</t>
        </is>
      </c>
      <c r="J10" s="24" t="inlineStr">
        <is>
          <t>Medium</t>
        </is>
      </c>
      <c r="K10" s="24" t="inlineStr">
        <is>
          <t>Functional</t>
        </is>
      </c>
      <c r="L10" s="24" t="inlineStr">
        <is>
          <t>Codex QA</t>
        </is>
      </c>
      <c r="M10" s="24" t="inlineStr">
        <is>
          <t>2026-07-20</t>
        </is>
      </c>
      <c r="N10" s="24" t="inlineStr">
        <is>
          <t>Designed from the implemented UI and service contract.</t>
        </is>
      </c>
    </row>
    <row r="11" ht="46" customHeight="1">
      <c r="A11" s="23" t="inlineStr">
        <is>
          <t>TRA-007</t>
        </is>
      </c>
      <c r="B11" s="23" t="inlineStr">
        <is>
          <t>Training Program Engineers</t>
        </is>
      </c>
      <c r="C11" s="23" t="inlineStr">
        <is>
          <t>Authorization</t>
        </is>
      </c>
      <c r="D11" s="23" t="inlineStr">
        <is>
          <t>No authenticated session</t>
        </is>
      </c>
      <c r="E11" s="23" t="inlineStr">
        <is>
          <t>Open the page in a fresh browser session without a token</t>
        </is>
      </c>
      <c r="F11" s="23" t="inlineStr">
        <is>
          <t>See steps</t>
        </is>
      </c>
      <c r="G11" s="23" t="inlineStr">
        <is>
          <t>User is redirected to login and protected data is not exposed.</t>
        </is>
      </c>
      <c r="H11" s="23" t="inlineStr">
        <is>
          <t>Direct access is allowed without a client-side guard; protected route is rendered.</t>
        </is>
      </c>
      <c r="I11" s="23" t="inlineStr">
        <is>
          <t>Failed</t>
        </is>
      </c>
      <c r="J11" s="23" t="inlineStr">
        <is>
          <t>High</t>
        </is>
      </c>
      <c r="K11" s="23" t="inlineStr">
        <is>
          <t>Functional</t>
        </is>
      </c>
      <c r="L11" s="23" t="inlineStr">
        <is>
          <t>Codex QA</t>
        </is>
      </c>
      <c r="M11" s="23" t="inlineStr">
        <is>
          <t>2026-07-20</t>
        </is>
      </c>
      <c r="N11" s="23" t="inlineStr">
        <is>
          <t>Logged in Bug Report as QA-SEC-001.</t>
        </is>
      </c>
    </row>
    <row r="12" ht="46" customHeight="1">
      <c r="A12" s="24" t="inlineStr">
        <is>
          <t>TRA-008</t>
        </is>
      </c>
      <c r="B12" s="24" t="inlineStr">
        <is>
          <t>Training Program Engineers</t>
        </is>
      </c>
      <c r="C12" s="24" t="inlineStr">
        <is>
          <t>Responsive/accessibility</t>
        </is>
      </c>
      <c r="D12" s="24" t="inlineStr">
        <is>
          <t>Page is loaded</t>
        </is>
      </c>
      <c r="E12" s="24" t="inlineStr">
        <is>
          <t>Check keyboard navigation and desktop/tablet/mobile widths</t>
        </is>
      </c>
      <c r="F12" s="24" t="inlineStr">
        <is>
          <t>See steps</t>
        </is>
      </c>
      <c r="G12" s="24" t="inlineStr">
        <is>
          <t>Labels, focus order, contrast and layout remain usable.</t>
        </is>
      </c>
      <c r="H12" s="24" t="inlineStr">
        <is>
          <t>Not executed: requires isolated test data, credentials, or controlled API failure.</t>
        </is>
      </c>
      <c r="I12" s="24" t="inlineStr">
        <is>
          <t>Not Run</t>
        </is>
      </c>
      <c r="J12" s="24" t="inlineStr">
        <is>
          <t>Medium</t>
        </is>
      </c>
      <c r="K12" s="24" t="inlineStr">
        <is>
          <t>Functional</t>
        </is>
      </c>
      <c r="L12" s="24" t="inlineStr">
        <is>
          <t>Codex QA</t>
        </is>
      </c>
      <c r="M12" s="24" t="inlineStr">
        <is>
          <t>2026-07-20</t>
        </is>
      </c>
      <c r="N12" s="24" t="inlineStr">
        <is>
          <t>Designed from the implemented UI and service contract.</t>
        </is>
      </c>
    </row>
  </sheetData>
  <autoFilter ref="A4:N12"/>
  <mergeCells count="2">
    <mergeCell ref="A2:N2"/>
    <mergeCell ref="A1:N1"/>
  </mergeCells>
  <conditionalFormatting sqref="I5:I12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"Not Run"</formula>
    </cfRule>
    <cfRule type="cellIs" priority="4" operator="equal" dxfId="3">
      <formula>"Blocked"</formula>
    </cfRule>
  </conditionalFormatting>
  <dataValidations count="1">
    <dataValidation sqref="I5:I12" showDropDown="0" showInputMessage="0" showErrorMessage="0" allowBlank="0" type="list">
      <formula1>"Passed,Failed,Blocked,Not Run"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2026-07-20T15:18:24Z</dcterms:created>
  <dcterms:modified xsi:type="dcterms:W3CDTF">2026-07-20T15:18:25Z</dcterms:modified>
</cp:coreProperties>
</file>